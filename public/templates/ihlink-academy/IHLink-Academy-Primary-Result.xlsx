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72b19c773a48b0" 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" sheetId="1" r:id="R129761ca70e14142"/>
    <sheet name="Settings" sheetId="2" r:id="R3d895cde1d344659"/>
    <sheet name="Class marks" sheetId="3" r:id="Rf2f1ce401fd642c8"/>
    <sheet name="Mapping" sheetId="4" r:id="R46d60c12e4be4610"/>
  </sheets>
  <definedNames>
    <definedName name="_xlnm.Print_Area" localSheetId="0">'Result'!$A$1:$P$51</definedName>
  </definedName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4">
    <numFmt numFmtId="200" formatCode="0.00"/>
    <numFmt numFmtId="201" formatCode="0"/>
    <numFmt numFmtId="202" formatCode="dd mmm yyyy"/>
    <numFmt numFmtId="203" formatCode="0.0"/>
  </numFmts>
  <fonts count="21">
    <font>
      <sz val="11"/>
      <name val="Carlito"/>
    </font>
    <font>
      <sz val="10"/>
      <color rgb="FF172C46"/>
      <name val="Arial"/>
    </font>
    <font>
      <b/>
      <sz val="18"/>
      <color rgb="FF123A73"/>
      <name val="Arial"/>
    </font>
    <font>
      <b/>
      <sz val="12"/>
      <color rgb="FF007FB5"/>
      <name val="Arial"/>
    </font>
    <font>
      <sz val="10"/>
      <color rgb="FF174C8A"/>
      <name val="Arial"/>
    </font>
    <font>
      <b/>
      <sz val="10"/>
      <color rgb="FFFFFFFF"/>
      <name val="Arial"/>
    </font>
    <font>
      <b/>
      <sz val="10"/>
      <color rgb="FF172C46"/>
      <name val="Arial"/>
    </font>
    <font>
      <i/>
      <sz val="10"/>
      <color rgb="FF62758B"/>
      <name val="Arial"/>
    </font>
    <font>
      <i/>
      <sz val="10"/>
      <color rgb="FF5B6C7E"/>
      <name val="Arial"/>
    </font>
    <font>
      <sz val="10"/>
      <color rgb="FF007FB5"/>
      <name val="Arial"/>
    </font>
    <font>
      <sz val="9"/>
      <color rgb="FF172C46"/>
      <name val="Arial"/>
    </font>
    <font>
      <b/>
      <sz val="14"/>
      <color rgb="FF123A73"/>
      <name val="Arial"/>
    </font>
    <font>
      <sz val="8"/>
      <color rgb="FF172C46"/>
      <name val="Arial"/>
    </font>
    <font>
      <b/>
      <sz val="10"/>
      <color rgb="FF123A73"/>
      <name val="Arial"/>
    </font>
    <font>
      <sz val="9"/>
      <color rgb="FF174C8A"/>
      <name val="Arial"/>
    </font>
    <font>
      <b/>
      <sz val="9"/>
      <color rgb="FFFFFFFF"/>
      <name val="Arial"/>
    </font>
    <font>
      <b/>
      <sz val="8"/>
      <color rgb="FF172C46"/>
      <name val="Arial"/>
    </font>
    <font>
      <i/>
      <sz val="8"/>
      <color rgb="FF5A6B7E"/>
      <name val="Arial"/>
    </font>
    <font>
      <i/>
      <sz val="8"/>
      <color rgb="FF172C46"/>
      <name val="Arial"/>
    </font>
    <font>
      <sz val="8"/>
      <color rgb="FF123A73"/>
      <name val="Arial"/>
    </font>
    <font>
      <sz val="11"/>
      <color rgb="FF174C8A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EAF3FA"/>
      </patternFill>
    </fill>
    <fill>
      <patternFill patternType="solid">
        <fgColor rgb="FFFFF3D6"/>
      </patternFill>
    </fill>
    <fill>
      <patternFill patternType="solid">
        <fgColor rgb="FF123A73"/>
      </patternFill>
    </fill>
    <fill>
      <patternFill patternType="solid">
        <fgColor rgb="FFF7FAFD"/>
      </patternFill>
    </fill>
    <fill>
      <patternFill patternType="solid">
        <fgColor rgb="FFF6F9FC"/>
      </patternFill>
    </fill>
    <fill>
      <patternFill patternType="solid">
        <fgColor rgb="FFFFFFFF"/>
      </patternFill>
    </fill>
    <fill>
      <patternFill patternType="solid">
        <fgColor rgb="FFEDF4FA"/>
      </patternFill>
    </fill>
    <fill>
      <patternFill patternType="solid">
        <fgColor rgb="FFFFF4DC"/>
      </patternFill>
    </fill>
    <fill>
      <patternFill patternType="solid">
        <fgColor rgb="FF123A73"/>
      </patternFill>
    </fill>
  </fills>
  <borders count="9">
    <border>
      <left/>
      <right/>
      <top/>
      <bottom/>
      <diagonal/>
    </border>
    <border>
      <left style="thin">
        <color rgb="FFC2D4E7"/>
      </left>
      <right/>
      <top style="thin">
        <color rgb="FFC2D4E7"/>
      </top>
      <bottom/>
      <diagonal/>
    </border>
    <border>
      <left/>
      <right/>
      <top style="thin">
        <color rgb="FFC2D4E7"/>
      </top>
      <bottom/>
      <diagonal/>
    </border>
    <border>
      <left/>
      <right style="thin">
        <color rgb="FFC2D4E7"/>
      </right>
      <top style="thin">
        <color rgb="FFC2D4E7"/>
      </top>
      <bottom/>
      <diagonal/>
    </border>
    <border>
      <left style="thin">
        <color rgb="FFC2D4E7"/>
      </left>
      <right/>
      <top/>
      <bottom/>
      <diagonal/>
    </border>
    <border>
      <left/>
      <right style="thin">
        <color rgb="FFC2D4E7"/>
      </right>
      <top/>
      <bottom/>
      <diagonal/>
    </border>
    <border>
      <left style="thin">
        <color rgb="FFC2D4E7"/>
      </left>
      <right/>
      <top/>
      <bottom style="thin">
        <color rgb="FFC2D4E7"/>
      </bottom>
      <diagonal/>
    </border>
    <border>
      <left/>
      <right/>
      <top/>
      <bottom style="thin">
        <color rgb="FFC2D4E7"/>
      </bottom>
      <diagonal/>
    </border>
    <border>
      <left/>
      <right style="thin">
        <color rgb="FFC2D4E7"/>
      </right>
      <top/>
      <bottom style="thin">
        <color rgb="FFC2D4E7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horizontal="center" vertical="center"/>
    </xf>
    <xf numFmtId="200" fontId="1" fillId="0" borderId="0" xfId="0" applyNumberFormat="1" applyFont="1" applyFill="1" applyBorder="1" applyAlignment="1">
      <alignment horizontal="center" vertical="center"/>
    </xf>
    <xf numFmtId="201" fontId="1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vertical="center"/>
    </xf>
    <xf numFmtId="0" fontId="1" fillId="2" borderId="1" xfId="0" applyNumberFormat="1" applyFont="1" applyFill="1" applyBorder="1" applyAlignment="1">
      <alignment vertical="center"/>
    </xf>
    <xf numFmtId="0" fontId="1" fillId="2" borderId="2" xfId="0" applyNumberFormat="1" applyFont="1" applyFill="1" applyBorder="1" applyAlignment="1">
      <alignment vertical="center"/>
    </xf>
    <xf numFmtId="0" fontId="1" fillId="2" borderId="3" xfId="0" applyNumberFormat="1" applyFont="1" applyFill="1" applyBorder="1" applyAlignment="1">
      <alignment vertical="center"/>
    </xf>
    <xf numFmtId="0" fontId="1" fillId="2" borderId="4" xfId="0" applyNumberFormat="1" applyFont="1" applyFill="1" applyBorder="1" applyAlignment="1">
      <alignment vertical="center"/>
    </xf>
    <xf numFmtId="0" fontId="1" fillId="2" borderId="5" xfId="0" applyNumberFormat="1" applyFont="1" applyFill="1" applyBorder="1" applyAlignment="1">
      <alignment vertical="center"/>
    </xf>
    <xf numFmtId="0" fontId="1" fillId="2" borderId="6" xfId="0" applyNumberFormat="1" applyFont="1" applyFill="1" applyBorder="1" applyAlignment="1">
      <alignment vertical="center"/>
    </xf>
    <xf numFmtId="0" fontId="1" fillId="2" borderId="7" xfId="0" applyNumberFormat="1" applyFont="1" applyFill="1" applyBorder="1" applyAlignment="1">
      <alignment vertical="center"/>
    </xf>
    <xf numFmtId="0" fontId="1" fillId="2" borderId="8" xfId="0" applyNumberFormat="1" applyFont="1" applyFill="1" applyBorder="1" applyAlignment="1">
      <alignment vertical="center"/>
    </xf>
    <xf numFmtId="0" fontId="1" fillId="2" borderId="1" xfId="0" applyNumberFormat="1" applyFont="1" applyFill="1" applyBorder="1" applyAlignment="1">
      <alignment vertical="center" wrapText="1"/>
    </xf>
    <xf numFmtId="0" fontId="1" fillId="2" borderId="2" xfId="0" applyNumberFormat="1" applyFont="1" applyFill="1" applyBorder="1" applyAlignment="1">
      <alignment vertical="center" wrapText="1"/>
    </xf>
    <xf numFmtId="0" fontId="1" fillId="2" borderId="3" xfId="0" applyNumberFormat="1" applyFont="1" applyFill="1" applyBorder="1" applyAlignment="1">
      <alignment vertical="center" wrapText="1"/>
    </xf>
    <xf numFmtId="0" fontId="1" fillId="2" borderId="4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vertical="center" wrapText="1"/>
    </xf>
    <xf numFmtId="0" fontId="1" fillId="2" borderId="5" xfId="0" applyNumberFormat="1" applyFont="1" applyFill="1" applyBorder="1" applyAlignment="1">
      <alignment vertical="center" wrapText="1"/>
    </xf>
    <xf numFmtId="0" fontId="1" fillId="2" borderId="6" xfId="0" applyNumberFormat="1" applyFont="1" applyFill="1" applyBorder="1" applyAlignment="1">
      <alignment vertical="center" wrapText="1"/>
    </xf>
    <xf numFmtId="0" fontId="1" fillId="2" borderId="7" xfId="0" applyNumberFormat="1" applyFont="1" applyFill="1" applyBorder="1" applyAlignment="1">
      <alignment vertical="center" wrapText="1"/>
    </xf>
    <xf numFmtId="0" fontId="1" fillId="2" borderId="8" xfId="0" applyNumberFormat="1" applyFont="1" applyFill="1" applyBorder="1" applyAlignment="1">
      <alignment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3" borderId="0" xfId="0" applyNumberFormat="1" applyFont="1" applyFill="1" applyBorder="1" applyAlignment="1">
      <alignment vertical="center"/>
    </xf>
    <xf numFmtId="0" fontId="4" fillId="3" borderId="0" xfId="0" applyNumberFormat="1" applyFont="1" applyFill="1" applyBorder="1" applyAlignment="1">
      <alignment vertical="center"/>
    </xf>
    <xf numFmtId="202" fontId="4" fillId="3" borderId="0" xfId="0" applyNumberFormat="1" applyFont="1" applyFill="1" applyBorder="1" applyAlignment="1">
      <alignment vertical="center"/>
    </xf>
    <xf numFmtId="0" fontId="1" fillId="4" borderId="0" xfId="0" applyNumberFormat="1" applyFont="1" applyFill="1" applyBorder="1" applyAlignment="1">
      <alignment vertical="center"/>
    </xf>
    <xf numFmtId="0" fontId="5" fillId="4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horizontal="center" vertical="center"/>
    </xf>
    <xf numFmtId="0" fontId="6" fillId="2" borderId="0" xfId="0" applyNumberFormat="1" applyFont="1" applyFill="1" applyBorder="1" applyAlignment="1">
      <alignment vertical="center"/>
    </xf>
    <xf numFmtId="0" fontId="6" fillId="2" borderId="0" xfId="0" applyNumberFormat="1" applyFont="1" applyFill="1" applyBorder="1" applyAlignment="1">
      <alignment horizontal="center" vertical="center"/>
    </xf>
    <xf numFmtId="0" fontId="6" fillId="2" borderId="0" xfId="0" applyNumberFormat="1" applyFont="1" applyFill="1" applyBorder="1" applyAlignment="1">
      <alignment vertical="center" wrapText="1"/>
    </xf>
    <xf numFmtId="0" fontId="6" fillId="2" borderId="0" xfId="0" applyNumberFormat="1" applyFont="1" applyFill="1" applyBorder="1" applyAlignment="1">
      <alignment horizontal="center" vertical="center" wrapText="1"/>
    </xf>
    <xf numFmtId="0" fontId="1" fillId="5" borderId="0" xfId="0" applyNumberFormat="1" applyFont="1" applyFill="1" applyBorder="1" applyAlignment="1">
      <alignment vertical="center"/>
    </xf>
    <xf numFmtId="200" fontId="1" fillId="5" borderId="0" xfId="0" applyNumberFormat="1" applyFont="1" applyFill="1" applyBorder="1" applyAlignment="1">
      <alignment horizontal="center" vertical="center"/>
    </xf>
    <xf numFmtId="201" fontId="1" fillId="5" borderId="0" xfId="0" applyNumberFormat="1" applyFont="1" applyFill="1" applyBorder="1" applyAlignment="1">
      <alignment horizontal="center" vertical="center"/>
    </xf>
    <xf numFmtId="0" fontId="7" fillId="5" borderId="0" xfId="0" applyNumberFormat="1" applyFont="1" applyFill="1" applyBorder="1" applyAlignment="1">
      <alignment vertical="center"/>
    </xf>
    <xf numFmtId="200" fontId="7" fillId="5" borderId="0" xfId="0" applyNumberFormat="1" applyFont="1" applyFill="1" applyBorder="1" applyAlignment="1">
      <alignment horizontal="center" vertical="center"/>
    </xf>
    <xf numFmtId="201" fontId="7" fillId="5" borderId="0" xfId="0" applyNumberFormat="1" applyFont="1" applyFill="1" applyBorder="1" applyAlignment="1">
      <alignment horizontal="center" vertical="center"/>
    </xf>
    <xf numFmtId="0" fontId="4" fillId="6" borderId="0" xfId="0" applyNumberFormat="1" applyFont="1" applyFill="1" applyBorder="1" applyAlignment="1">
      <alignment vertical="center"/>
    </xf>
    <xf numFmtId="200" fontId="1" fillId="6" borderId="0" xfId="0" applyNumberFormat="1" applyFont="1" applyFill="1" applyBorder="1" applyAlignment="1">
      <alignment horizontal="center" vertical="center"/>
    </xf>
    <xf numFmtId="201" fontId="1" fillId="6" borderId="0" xfId="0" applyNumberFormat="1" applyFont="1" applyFill="1" applyBorder="1" applyAlignment="1">
      <alignment horizontal="center" vertical="center"/>
    </xf>
    <xf numFmtId="0" fontId="1" fillId="6" borderId="0" xfId="0" applyNumberFormat="1" applyFont="1" applyFill="1" applyBorder="1" applyAlignment="1">
      <alignment vertical="center"/>
    </xf>
    <xf numFmtId="200" fontId="1" fillId="3" borderId="0" xfId="0" applyNumberFormat="1" applyFont="1" applyFill="1" applyBorder="1" applyAlignment="1">
      <alignment horizontal="center" vertical="center"/>
    </xf>
    <xf numFmtId="200" fontId="4" fillId="3" borderId="0" xfId="0" applyNumberFormat="1" applyFont="1" applyFill="1" applyBorder="1" applyAlignment="1">
      <alignment horizontal="center" vertical="center"/>
    </xf>
    <xf numFmtId="200" fontId="1" fillId="0" borderId="0" xfId="0" applyNumberFormat="1" applyFont="1" applyFill="1" applyBorder="1" applyAlignment="1">
      <alignment vertical="center"/>
    </xf>
    <xf numFmtId="0" fontId="8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 wrapText="1"/>
    </xf>
    <xf numFmtId="0" fontId="4" fillId="3" borderId="0" xfId="0" applyNumberFormat="1" applyFont="1" applyFill="1" applyBorder="1" applyAlignment="1">
      <alignment vertical="center" wrapText="1"/>
    </xf>
    <xf numFmtId="0" fontId="9" fillId="3" borderId="0" xfId="0" applyNumberFormat="1" applyFont="1" applyFill="1" applyBorder="1" applyAlignment="1">
      <alignment vertical="center"/>
    </xf>
    <xf numFmtId="0" fontId="4" fillId="7" borderId="0" xfId="0" applyNumberFormat="1" applyFont="1" applyFill="1" applyBorder="1" applyAlignment="1">
      <alignment vertical="center"/>
    </xf>
    <xf numFmtId="200" fontId="4" fillId="3" borderId="0" xfId="0" applyNumberFormat="1" applyFont="1" applyFill="1" applyBorder="1" applyAlignment="1">
      <alignment vertical="center"/>
    </xf>
    <xf numFmtId="0" fontId="10" fillId="0" borderId="0" xfId="0" applyNumberFormat="1" applyFont="1" applyFill="1" applyBorder="1"/>
    <xf numFmtId="0" fontId="10" fillId="0" borderId="0" xfId="0" applyNumberFormat="1" applyFont="1" applyFill="1" applyBorder="1" applyAlignment="1">
      <alignment vertical="center"/>
    </xf>
    <xf numFmtId="0" fontId="11" fillId="0" borderId="0" xfId="0" applyNumberFormat="1" applyFont="1" applyFill="1" applyBorder="1" applyAlignment="1">
      <alignment vertical="center"/>
    </xf>
    <xf numFmtId="0" fontId="11" fillId="0" borderId="0" xfId="0" applyNumberFormat="1" applyFont="1" applyFill="1" applyBorder="1" applyAlignment="1">
      <alignment horizontal="center" vertical="center"/>
    </xf>
    <xf numFmtId="0" fontId="12" fillId="0" borderId="0" xfId="0" applyNumberFormat="1" applyFont="1" applyFill="1" applyBorder="1" applyAlignment="1">
      <alignment vertical="center"/>
    </xf>
    <xf numFmtId="0" fontId="12" fillId="0" borderId="0" xfId="0" applyNumberFormat="1" applyFont="1" applyFill="1" applyBorder="1" applyAlignment="1">
      <alignment horizontal="center" vertical="center"/>
    </xf>
    <xf numFmtId="0" fontId="13" fillId="0" borderId="0" xfId="0" applyNumberFormat="1" applyFont="1" applyFill="1" applyBorder="1" applyAlignment="1">
      <alignment vertical="center"/>
    </xf>
    <xf numFmtId="0" fontId="13" fillId="0" borderId="0" xfId="0" applyNumberFormat="1" applyFont="1" applyFill="1" applyBorder="1" applyAlignment="1">
      <alignment horizontal="center" vertical="center"/>
    </xf>
    <xf numFmtId="0" fontId="10" fillId="8" borderId="0" xfId="0" applyNumberFormat="1" applyFont="1" applyFill="1" applyBorder="1" applyAlignment="1">
      <alignment vertical="center"/>
    </xf>
    <xf numFmtId="0" fontId="12" fillId="8" borderId="0" xfId="0" applyNumberFormat="1" applyFont="1" applyFill="1" applyBorder="1" applyAlignment="1">
      <alignment vertical="center"/>
    </xf>
    <xf numFmtId="0" fontId="12" fillId="8" borderId="0" xfId="0" applyNumberFormat="1" applyFont="1" applyFill="1" applyBorder="1" applyAlignment="1">
      <alignment vertical="center" wrapText="1"/>
    </xf>
    <xf numFmtId="0" fontId="12" fillId="8" borderId="0" xfId="0" applyNumberFormat="1" applyFont="1" applyFill="1" applyBorder="1" applyAlignment="1">
      <alignment horizontal="center" vertical="center" wrapText="1"/>
    </xf>
    <xf numFmtId="0" fontId="10" fillId="9" borderId="0" xfId="0" applyNumberFormat="1" applyFont="1" applyFill="1" applyBorder="1" applyAlignment="1">
      <alignment vertical="center"/>
    </xf>
    <xf numFmtId="0" fontId="14" fillId="9" borderId="0" xfId="0" applyNumberFormat="1" applyFont="1" applyFill="1" applyBorder="1" applyAlignment="1">
      <alignment vertical="center"/>
    </xf>
    <xf numFmtId="202" fontId="14" fillId="9" borderId="0" xfId="0" applyNumberFormat="1" applyFont="1" applyFill="1" applyBorder="1" applyAlignment="1">
      <alignment vertical="center"/>
    </xf>
    <xf numFmtId="0" fontId="10" fillId="10" borderId="0" xfId="0" applyNumberFormat="1" applyFont="1" applyFill="1" applyBorder="1" applyAlignment="1">
      <alignment vertical="center"/>
    </xf>
    <xf numFmtId="0" fontId="15" fillId="10" borderId="0" xfId="0" applyNumberFormat="1" applyFont="1" applyFill="1" applyBorder="1" applyAlignment="1">
      <alignment vertical="center"/>
    </xf>
    <xf numFmtId="0" fontId="16" fillId="8" borderId="0" xfId="0" applyNumberFormat="1" applyFont="1" applyFill="1" applyBorder="1" applyAlignment="1">
      <alignment vertical="center"/>
    </xf>
    <xf numFmtId="0" fontId="16" fillId="8" borderId="0" xfId="0" applyNumberFormat="1" applyFont="1" applyFill="1" applyBorder="1" applyAlignment="1">
      <alignment vertical="center" wrapText="1"/>
    </xf>
    <xf numFmtId="0" fontId="16" fillId="8" borderId="0" xfId="0" applyNumberFormat="1" applyFont="1" applyFill="1" applyBorder="1" applyAlignment="1">
      <alignment horizontal="center" vertical="center" wrapText="1"/>
    </xf>
    <xf numFmtId="0" fontId="17" fillId="0" borderId="0" xfId="0" applyNumberFormat="1" applyFont="1" applyFill="1" applyBorder="1" applyAlignment="1">
      <alignment vertical="center"/>
    </xf>
    <xf numFmtId="0" fontId="10" fillId="0" borderId="0" xfId="0" applyNumberFormat="1" applyFont="1" applyFill="1" applyBorder="1" applyAlignment="1">
      <alignment vertical="center" wrapText="1"/>
    </xf>
    <xf numFmtId="0" fontId="10" fillId="0" borderId="0" xfId="0" applyNumberFormat="1" applyFont="1" applyFill="1" applyBorder="1" applyAlignment="1">
      <alignment horizontal="center" vertical="center"/>
    </xf>
    <xf numFmtId="203" fontId="10" fillId="0" borderId="0" xfId="0" applyNumberFormat="1" applyFont="1" applyFill="1" applyBorder="1" applyAlignment="1">
      <alignment horizontal="center" vertical="center"/>
    </xf>
    <xf numFmtId="203" fontId="10" fillId="9" borderId="0" xfId="0" applyNumberFormat="1" applyFont="1" applyFill="1" applyBorder="1" applyAlignment="1">
      <alignment horizontal="center" vertical="center"/>
    </xf>
    <xf numFmtId="203" fontId="14" fillId="9" borderId="0" xfId="0" applyNumberFormat="1" applyFont="1" applyFill="1" applyBorder="1" applyAlignment="1">
      <alignment horizontal="center" vertical="center"/>
    </xf>
    <xf numFmtId="0" fontId="10" fillId="8" borderId="0" xfId="0" applyNumberFormat="1" applyFont="1" applyFill="1" applyBorder="1" applyAlignment="1">
      <alignment vertical="center" wrapText="1"/>
    </xf>
    <xf numFmtId="203" fontId="10" fillId="8" borderId="0" xfId="0" applyNumberFormat="1" applyFont="1" applyFill="1" applyBorder="1" applyAlignment="1">
      <alignment horizontal="center" vertical="center"/>
    </xf>
    <xf numFmtId="203" fontId="14" fillId="8" borderId="0" xfId="0" applyNumberFormat="1" applyFont="1" applyFill="1" applyBorder="1" applyAlignment="1">
      <alignment horizontal="center" vertical="center"/>
    </xf>
    <xf numFmtId="0" fontId="10" fillId="8" borderId="0" xfId="0" applyNumberFormat="1" applyFont="1" applyFill="1" applyBorder="1" applyAlignment="1">
      <alignment horizontal="center" vertical="center"/>
    </xf>
    <xf numFmtId="200" fontId="10" fillId="0" borderId="0" xfId="0" applyNumberFormat="1" applyFont="1" applyFill="1" applyBorder="1" applyAlignment="1">
      <alignment vertical="center"/>
    </xf>
    <xf numFmtId="0" fontId="12" fillId="0" borderId="0" xfId="0" applyNumberFormat="1" applyFont="1" applyFill="1" applyBorder="1" applyAlignment="1">
      <alignment vertical="center" wrapText="1"/>
    </xf>
    <xf numFmtId="0" fontId="18" fillId="0" borderId="0" xfId="0" applyNumberFormat="1" applyFont="1" applyFill="1" applyBorder="1" applyAlignment="1">
      <alignment vertical="center"/>
    </xf>
    <xf numFmtId="0" fontId="14" fillId="9" borderId="0" xfId="0" applyNumberFormat="1" applyFont="1" applyFill="1" applyBorder="1" applyAlignment="1">
      <alignment vertical="center" wrapText="1"/>
    </xf>
    <xf numFmtId="0" fontId="19" fillId="9" borderId="0" xfId="0" applyNumberFormat="1" applyFont="1" applyFill="1" applyBorder="1" applyAlignment="1">
      <alignment vertical="center"/>
    </xf>
    <xf numFmtId="200" fontId="10" fillId="0" borderId="0" xfId="0" applyNumberFormat="1" applyFont="1" applyFill="1" applyBorder="1" applyAlignment="1">
      <alignment horizontal="center" vertical="center"/>
    </xf>
    <xf numFmtId="0" fontId="10" fillId="9" borderId="0" xfId="0" applyNumberFormat="1" applyFont="1" applyFill="1" applyBorder="1" applyAlignment="1">
      <alignment horizontal="center" vertical="center"/>
    </xf>
    <xf numFmtId="0" fontId="14" fillId="9" borderId="0" xfId="0" applyNumberFormat="1" applyFont="1" applyFill="1" applyBorder="1" applyAlignment="1">
      <alignment horizontal="center" vertical="center"/>
    </xf>
    <xf numFmtId="0" fontId="1" fillId="9" borderId="0" xfId="0" applyNumberFormat="1" applyFont="1" applyFill="1" applyBorder="1" applyAlignment="1">
      <alignment vertical="center"/>
    </xf>
    <xf numFmtId="0" fontId="4" fillId="9" borderId="0" xfId="0" applyNumberFormat="1" applyFont="1" applyFill="1" applyBorder="1" applyAlignment="1">
      <alignment vertical="center"/>
    </xf>
    <xf numFmtId="0" fontId="1" fillId="8" borderId="0" xfId="0" applyNumberFormat="1" applyFont="1" applyFill="1" applyBorder="1" applyAlignment="1">
      <alignment vertical="center"/>
    </xf>
    <xf numFmtId="0" fontId="0" fillId="8" borderId="0" xfId="0" applyNumberFormat="1" applyFont="1" applyFill="1" applyBorder="1"/>
    <xf numFmtId="0" fontId="1" fillId="8" borderId="0" xfId="0" applyNumberFormat="1" applyFont="1" applyFill="1" applyBorder="1" applyAlignment="1">
      <alignment vertical="center" wrapText="1"/>
    </xf>
    <xf numFmtId="0" fontId="0" fillId="8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0" fillId="9" borderId="0" xfId="0" applyNumberFormat="1" applyFont="1" applyFill="1" applyBorder="1"/>
    <xf numFmtId="0" fontId="20" fillId="9" borderId="0" xfId="0" applyNumberFormat="1" applyFont="1" applyFill="1" applyBorder="1"/>
  </cellXfs>
  <cellStyles count="1">
    <cellStyle name="Normal" xfId="0"/>
  </cellStyles>
  <dxfs count="66">
    <dxf>
      <font>
        <b/>
        <color rgb="FFB42318"/>
      </font>
      <fill>
        <patternFill>
          <bgColor rgb="FFFDE6E3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b10cb88ae945ec" /><Relationship Type="http://schemas.openxmlformats.org/officeDocument/2006/relationships/theme" Target="/xl/theme/theme1.xml" Id="Rfcf31d3d9069454f" /><Relationship Type="http://schemas.openxmlformats.org/officeDocument/2006/relationships/sharedStrings" Target="/xl/sharedStrings.xml" Id="Rfabd8159975c4933" /><Relationship Type="http://schemas.openxmlformats.org/officeDocument/2006/relationships/worksheet" Target="/xl/worksheets/sheet1.xml" Id="R129761ca70e14142" /><Relationship Type="http://schemas.openxmlformats.org/officeDocument/2006/relationships/worksheet" Target="/xl/worksheets/sheet2.xml" Id="R3d895cde1d344659" /><Relationship Type="http://schemas.openxmlformats.org/officeDocument/2006/relationships/worksheet" Target="/xl/worksheets/sheet3.xml" Id="Rf2f1ce401fd642c8" /><Relationship Type="http://schemas.openxmlformats.org/officeDocument/2006/relationships/worksheet" Target="/xl/worksheets/sheet4.xml" Id="R46d60c12e4be461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95101a2ef3540d9" /></Relationships>
</file>

<file path=xl/drawings/drawing1.xml><?xml version="1.0" encoding="utf-8"?>
<xdr:wsDr xmlns:xdr="http://schemas.openxmlformats.org/drawingml/2006/spreadsheetDrawing">
  <xdr:oneCellAnchor>
    <xdr:from>
      <xdr:col>0</xdr:col>
      <xdr:colOff>228600</xdr:colOff>
      <xdr:row>1</xdr:row>
      <xdr:rowOff>0</xdr:rowOff>
    </xdr:from>
    <xdr:ext cx="590550" cy="590550"/>
    <xdr:pic>
      <xdr:nvPicPr>
        <xdr:cNvPr id="1" name="4b48394a-33ff-42bd-98e2-eb1113fe2d3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5101a2ef3540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650874ed1ea4ff9" 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23A73"/>
    <pageSetUpPr fitToPage="1"/>
  </sheetPr>
  <sheetViews>
    <sheetView showGridLines="0" workbookViewId="0"/>
  </sheetViews>
  <sheetFormatPr defaultRowHeight="15"/>
  <cols>
    <col min="1" max="1" width="10.5600004196167" hidden="0" customWidth="1"/>
    <col min="2" max="2" width="4.440000057220459" hidden="0" customWidth="1"/>
    <col min="3" max="3" width="3.3299999237060547" hidden="0" customWidth="1"/>
    <col min="4" max="4" width="3.3299999237060547" hidden="0" customWidth="1"/>
    <col min="5" max="5" width="3.3299999237060547" hidden="0" customWidth="1"/>
    <col min="6" max="6" width="3.3299999237060547" hidden="0" customWidth="1"/>
    <col min="7" max="7" width="3.7799999713897705" hidden="0" customWidth="1"/>
    <col min="8" max="8" width="4" hidden="0" customWidth="1"/>
    <col min="9" max="9" width="3.559999942779541" hidden="0" customWidth="1"/>
    <col min="10" max="10" width="3.559999942779541" hidden="0" customWidth="1"/>
    <col min="11" max="11" width="4.440000057220459" hidden="0" customWidth="1"/>
    <col min="12" max="12" width="3.109999895095825" hidden="0" customWidth="1"/>
    <col min="13" max="13" width="3.3299999237060547" hidden="0" customWidth="1"/>
    <col min="14" max="14" width="4.21999979019165" hidden="0" customWidth="1"/>
    <col min="15" max="15" width="5.21999979019165" hidden="0" customWidth="1"/>
    <col min="16" max="16" width="5.21999979019165" hidden="0" customWidth="1"/>
  </cols>
  <sheetData>
    <row r="1" ht="6" customHeight="1">
      <c r="A1" s="67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/>
      <c r="R1"/>
      <c r="S1"/>
      <c r="T1"/>
      <c r="U1"/>
    </row>
    <row r="2" ht="13.5" customHeight="1">
      <c r="A2" s="67" t="str"/>
      <c r="B2" s="67"/>
      <c r="C2" s="69" t="str">
        <f>IF(A100="",Settings!B3,A100)</f>
        <v>IHLink Academy</v>
      </c>
      <c r="D2" s="69"/>
      <c r="E2" s="69"/>
      <c r="F2" s="69"/>
      <c r="G2" s="69"/>
      <c r="H2" s="69"/>
      <c r="I2" s="69"/>
      <c r="J2" s="69"/>
      <c r="K2" s="69"/>
      <c r="L2" s="69"/>
      <c r="M2" s="69"/>
      <c r="N2" s="77" t="str">
        <v>Student photograph</v>
      </c>
      <c r="O2" s="77"/>
      <c r="P2" s="77"/>
      <c r="Q2"/>
      <c r="R2"/>
      <c r="S2"/>
      <c r="T2"/>
      <c r="U2"/>
    </row>
    <row r="3" ht="13.5" customHeight="1">
      <c r="A3" s="67"/>
      <c r="B3" s="67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77"/>
      <c r="O3" s="77"/>
      <c r="P3" s="77"/>
      <c r="Q3"/>
      <c r="R3"/>
      <c r="S3"/>
      <c r="T3"/>
      <c r="U3"/>
    </row>
    <row r="4" ht="13.5" customHeight="1">
      <c r="A4" s="67"/>
      <c r="B4" s="67"/>
      <c r="C4" s="71" t="str">
        <f>IF(A101="",Settings!B4,A101)</f>
        <v>School address and contact details</v>
      </c>
      <c r="D4" s="71"/>
      <c r="E4" s="71"/>
      <c r="F4" s="71"/>
      <c r="G4" s="71"/>
      <c r="H4" s="71"/>
      <c r="I4" s="71"/>
      <c r="J4" s="71"/>
      <c r="K4" s="71"/>
      <c r="L4" s="71"/>
      <c r="M4" s="71"/>
      <c r="N4" s="77"/>
      <c r="O4" s="77"/>
      <c r="P4" s="77"/>
      <c r="Q4"/>
      <c r="R4"/>
      <c r="S4"/>
      <c r="T4"/>
      <c r="U4"/>
    </row>
    <row r="5" ht="13.5" customHeight="1">
      <c r="A5" s="67"/>
      <c r="B5" s="67"/>
      <c r="C5" s="73" t="str">
        <v>PRIMARY REPORT</v>
      </c>
      <c r="D5" s="73"/>
      <c r="E5" s="73"/>
      <c r="F5" s="73"/>
      <c r="G5" s="73"/>
      <c r="H5" s="73"/>
      <c r="I5" s="73"/>
      <c r="J5" s="73"/>
      <c r="K5" s="73"/>
      <c r="L5" s="73"/>
      <c r="M5" s="73"/>
      <c r="N5" s="77"/>
      <c r="O5" s="77"/>
      <c r="P5" s="77"/>
      <c r="Q5"/>
      <c r="R5"/>
      <c r="S5"/>
      <c r="T5"/>
      <c r="U5"/>
    </row>
    <row r="6" ht="13.5" customHeight="1">
      <c r="A6" s="67" t="str">
        <v>Student name</v>
      </c>
      <c r="B6" s="67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/>
      <c r="R6"/>
      <c r="S6"/>
      <c r="T6"/>
      <c r="U6"/>
    </row>
    <row r="7" ht="13.5" customHeight="1">
      <c r="A7" s="67" t="str">
        <v>Admission no.</v>
      </c>
      <c r="B7" s="67"/>
      <c r="C7" s="79"/>
      <c r="D7" s="79"/>
      <c r="E7" s="79"/>
      <c r="F7" s="79"/>
      <c r="G7" s="79"/>
      <c r="H7" s="79"/>
      <c r="I7" s="67" t="str">
        <v>Class / arm</v>
      </c>
      <c r="J7" s="67"/>
      <c r="K7" s="67"/>
      <c r="L7" s="79"/>
      <c r="M7" s="79"/>
      <c r="N7" s="79"/>
      <c r="O7" s="79"/>
      <c r="P7" s="79"/>
      <c r="Q7"/>
      <c r="R7"/>
      <c r="S7"/>
      <c r="T7"/>
      <c r="U7"/>
    </row>
    <row r="8" ht="13.5" customHeight="1">
      <c r="A8" s="67" t="str">
        <v>Term</v>
      </c>
      <c r="B8" s="67"/>
      <c r="C8" s="67" t="str">
        <f>IF(A102="",Settings!B8,A102)</f>
        <v>First Term</v>
      </c>
      <c r="D8" s="67"/>
      <c r="E8" s="67"/>
      <c r="F8" s="67"/>
      <c r="G8" s="67"/>
      <c r="H8" s="67"/>
      <c r="I8" s="67" t="str">
        <v>Session</v>
      </c>
      <c r="J8" s="67"/>
      <c r="K8" s="67"/>
      <c r="L8" s="67" t="str">
        <f>IF(A103="",Settings!B9,A103)</f>
        <v>2026/2027</v>
      </c>
      <c r="M8" s="67"/>
      <c r="N8" s="67"/>
      <c r="O8" s="67"/>
      <c r="P8" s="67"/>
      <c r="Q8"/>
      <c r="R8"/>
      <c r="S8"/>
      <c r="T8"/>
      <c r="U8"/>
    </row>
    <row r="9" ht="13.5" customHeight="1">
      <c r="A9" s="67" t="str">
        <v>Term ending</v>
      </c>
      <c r="B9" s="67"/>
      <c r="C9" s="80" t="str"/>
      <c r="D9" s="80"/>
      <c r="E9" s="80"/>
      <c r="F9" s="80"/>
      <c r="G9" s="80"/>
      <c r="H9" s="80"/>
      <c r="I9" s="67" t="str">
        <v>Next term</v>
      </c>
      <c r="J9" s="67"/>
      <c r="K9" s="67"/>
      <c r="L9" s="80" t="str"/>
      <c r="M9" s="80"/>
      <c r="N9" s="80"/>
      <c r="O9" s="80"/>
      <c r="P9" s="80"/>
      <c r="Q9"/>
      <c r="R9"/>
      <c r="S9"/>
      <c r="T9"/>
      <c r="U9"/>
    </row>
    <row r="10" ht="13.5" customHeight="1">
      <c r="A10" s="67" t="str">
        <v>Gender</v>
      </c>
      <c r="B10" s="79"/>
      <c r="C10" s="67" t="str">
        <v>Age</v>
      </c>
      <c r="D10" s="67"/>
      <c r="E10" s="79"/>
      <c r="F10" s="67" t="str">
        <v>House</v>
      </c>
      <c r="G10" s="67"/>
      <c r="H10" s="67"/>
      <c r="I10" s="79" t="str"/>
      <c r="J10" s="79"/>
      <c r="K10" s="79"/>
      <c r="L10" s="67" t="str">
        <v>Report no.</v>
      </c>
      <c r="M10" s="67"/>
      <c r="N10" s="67"/>
      <c r="O10" s="79" t="str"/>
      <c r="P10" s="79"/>
      <c r="Q10"/>
      <c r="R10"/>
      <c r="S10"/>
      <c r="T10"/>
      <c r="U10"/>
    </row>
    <row r="11" ht="14.25" customHeight="1">
      <c r="A11" s="82" t="str">
        <v>ACADEMIC PERFORMANCE</v>
      </c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/>
      <c r="R11"/>
      <c r="S11"/>
      <c r="T11"/>
      <c r="U11"/>
    </row>
    <row r="12" ht="27" customHeight="1">
      <c r="A12" s="85" t="str">
        <v>Subject</v>
      </c>
      <c r="B12" s="85"/>
      <c r="C12" s="85" t="str">
        <f>IF(Settings!B11=0,"—",Settings!C11&amp;CHAR(10)&amp;"("&amp;Settings!B11&amp;")")</f>
        <v>CA 1
(10)</v>
      </c>
      <c r="D12" s="85" t="str">
        <f>IF(Settings!B12=0,"—",Settings!C12&amp;CHAR(10)&amp;"("&amp;Settings!B12&amp;")")</f>
        <v>CA 2
(10)</v>
      </c>
      <c r="E12" s="85" t="str">
        <f>IF(Settings!B13=0,"—",Settings!C13&amp;CHAR(10)&amp;"("&amp;Settings!B13&amp;")")</f>
        <v>CA 3
(10)</v>
      </c>
      <c r="F12" s="85" t="str">
        <f>IF(Settings!B14=0,"—",Settings!C14&amp;CHAR(10)&amp;"("&amp;Settings!B14&amp;")")</f>
        <v>CA 4
(10)</v>
      </c>
      <c r="G12" s="85" t="str">
        <f>IF(Settings!B15=0,"—",Settings!C15&amp;CHAR(10)&amp;"("&amp;Settings!B15&amp;")")</f>
        <v>Exam
(60)</v>
      </c>
      <c r="H12" s="85" t="str">
        <v>Term
total</v>
      </c>
      <c r="I12" s="85" t="str">
        <v>T1</v>
      </c>
      <c r="J12" s="85" t="str">
        <v>T2</v>
      </c>
      <c r="K12" s="85" t="str">
        <v>Cum.
avg.</v>
      </c>
      <c r="L12" s="85" t="str">
        <v>Gr.</v>
      </c>
      <c r="M12" s="85" t="str">
        <v>Subj.
pos.</v>
      </c>
      <c r="N12" s="85" t="str">
        <v>Class
avg.</v>
      </c>
      <c r="O12" s="85" t="str">
        <v>Remark</v>
      </c>
      <c r="P12" s="85"/>
      <c r="Q12"/>
      <c r="R12"/>
      <c r="S12"/>
      <c r="T12"/>
      <c r="U12"/>
    </row>
    <row r="13" ht="13.5" customHeight="1">
      <c r="A13" s="86" t="str">
        <f> "Marks out of 100. Subject grades / positions: "&amp;Settings!B10&amp;". Assessment: "&amp;Settings!B17</f>
        <v>Marks out of 100. Subject grades / positions: Cumulative. Assessment: Four CA 10-10-10-10</v>
      </c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/>
      <c r="R13"/>
      <c r="S13"/>
      <c r="T13"/>
      <c r="U13"/>
    </row>
    <row r="14" ht="18.75" customHeight="1">
      <c r="A14" s="92" t="str">
        <v>English Studies</v>
      </c>
      <c r="B14" s="92"/>
      <c r="C14" s="91"/>
      <c r="D14" s="91"/>
      <c r="E14" s="91"/>
      <c r="F14" s="91"/>
      <c r="G14" s="91"/>
      <c r="H14" s="93" t="str">
        <f>IF(A14="","",IF(COUNT(C14:G14)=0,"",IF(AND(Settings!B16=100,IF(Settings!B11=0,OR(C14="",C14=0),AND(ISNUMBER(C14),C14&gt;=0,C14&lt;=Settings!B11)),IF(Settings!B12=0,OR(D14="",D14=0),AND(ISNUMBER(D14),D14&gt;=0,D14&lt;=Settings!B12)),IF(Settings!B13=0,OR(E14="",E14=0),AND(ISNUMBER(E14),E14&gt;=0,E14&lt;=Settings!B13)),IF(Settings!B14=0,OR(F14="",F14=0),AND(ISNUMBER(F14),F14&gt;=0,F14&lt;=Settings!B14)),IF(Settings!B15=0,OR(G14="",G14=0),AND(ISNUMBER(G14),G14&gt;=0,G14&lt;=Settings!B15))),SUM(C14:G14),"CHECK")))</f>
      </c>
      <c r="I14" s="94"/>
      <c r="J14" s="94"/>
      <c r="K14" s="93" t="str">
        <f>IF(NOT(ISNUMBER(H14)),"",IF(C8="First Term",H14,IF(C8="Second Term",IF(ISNUMBER(I14),AVERAGE(H14,I14),""),IF(AND(ISNUMBER(I14),ISNUMBER(J14)),AVERAGE(H14,I14,J14),""))))</f>
      </c>
      <c r="L14" s="95" t="str">
        <f>IF(ISNUMBER(IF(Settings!B10="Current term",H14,K14)),LOOKUP(IF(Settings!B10="Current term",H14,K14),Settings!$A$25:$A$30,Settings!$B$25:$B$30),"")</f>
      </c>
      <c r="M14" s="103"/>
      <c r="N14" s="91"/>
      <c r="O14" s="92" t="str">
        <f>IF(A14="","",IF(H14="CHECK","Check marks",IF(AND(ISNUMBER(H14),Settings!B10="Cumulative",K14=""),"Prior marks needed",IF(ISNUMBER(IF(Settings!B10="Current term",H14,K14)),LOOKUP(IF(Settings!B10="Current term",H14,K14),Settings!$A$25:$A$30,Settings!$C$25:$C$30),""))))</f>
      </c>
      <c r="P14" s="92"/>
      <c r="Q14"/>
      <c r="R14"/>
      <c r="S14"/>
      <c r="T14"/>
      <c r="U14"/>
    </row>
    <row r="15" ht="18.75" customHeight="1">
      <c r="A15" s="87" t="str">
        <v>Mathematics</v>
      </c>
      <c r="B15" s="87"/>
      <c r="C15" s="91"/>
      <c r="D15" s="91"/>
      <c r="E15" s="91"/>
      <c r="F15" s="91"/>
      <c r="G15" s="91"/>
      <c r="H15" s="89" t="str">
        <f>IF(A15="","",IF(COUNT(C15:G15)=0,"",IF(AND(Settings!B16=100,IF(Settings!B11=0,OR(C15="",C15=0),AND(ISNUMBER(C15),C15&gt;=0,C15&lt;=Settings!B11)),IF(Settings!B12=0,OR(D15="",D15=0),AND(ISNUMBER(D15),D15&gt;=0,D15&lt;=Settings!B12)),IF(Settings!B13=0,OR(E15="",E15=0),AND(ISNUMBER(E15),E15&gt;=0,E15&lt;=Settings!B13)),IF(Settings!B14=0,OR(F15="",F15=0),AND(ISNUMBER(F15),F15&gt;=0,F15&lt;=Settings!B14)),IF(Settings!B15=0,OR(G15="",G15=0),AND(ISNUMBER(G15),G15&gt;=0,G15&lt;=Settings!B15))),SUM(C15:G15),"CHECK")))</f>
      </c>
      <c r="I15" s="91"/>
      <c r="J15" s="91"/>
      <c r="K15" s="89" t="str">
        <f>IF(NOT(ISNUMBER(H15)),"",IF(C8="First Term",H15,IF(C8="Second Term",IF(ISNUMBER(I15),AVERAGE(H15,I15),""),IF(AND(ISNUMBER(I15),ISNUMBER(J15)),AVERAGE(H15,I15,J15),""))))</f>
      </c>
      <c r="L15" s="88" t="str">
        <f>IF(ISNUMBER(IF(Settings!B10="Current term",H15,K15)),LOOKUP(IF(Settings!B10="Current term",H15,K15),Settings!$A$25:$A$30,Settings!$B$25:$B$30),"")</f>
      </c>
      <c r="M15" s="103"/>
      <c r="N15" s="91"/>
      <c r="O15" s="87" t="str">
        <f>IF(A15="","",IF(H15="CHECK","Check marks",IF(AND(ISNUMBER(H15),Settings!B10="Cumulative",K15=""),"Prior marks needed",IF(ISNUMBER(IF(Settings!B10="Current term",H15,K15)),LOOKUP(IF(Settings!B10="Current term",H15,K15),Settings!$A$25:$A$30,Settings!$C$25:$C$30),""))))</f>
      </c>
      <c r="P15" s="87"/>
      <c r="Q15"/>
      <c r="R15"/>
      <c r="S15"/>
      <c r="T15"/>
      <c r="U15"/>
    </row>
    <row r="16" ht="18.75" customHeight="1">
      <c r="A16" s="92" t="str">
        <v>Nigerian Language</v>
      </c>
      <c r="B16" s="92"/>
      <c r="C16" s="91"/>
      <c r="D16" s="91"/>
      <c r="E16" s="91"/>
      <c r="F16" s="91"/>
      <c r="G16" s="91"/>
      <c r="H16" s="93" t="str">
        <f>IF(A16="","",IF(COUNT(C16:G16)=0,"",IF(AND(Settings!B16=100,IF(Settings!B11=0,OR(C16="",C16=0),AND(ISNUMBER(C16),C16&gt;=0,C16&lt;=Settings!B11)),IF(Settings!B12=0,OR(D16="",D16=0),AND(ISNUMBER(D16),D16&gt;=0,D16&lt;=Settings!B12)),IF(Settings!B13=0,OR(E16="",E16=0),AND(ISNUMBER(E16),E16&gt;=0,E16&lt;=Settings!B13)),IF(Settings!B14=0,OR(F16="",F16=0),AND(ISNUMBER(F16),F16&gt;=0,F16&lt;=Settings!B14)),IF(Settings!B15=0,OR(G16="",G16=0),AND(ISNUMBER(G16),G16&gt;=0,G16&lt;=Settings!B15))),SUM(C16:G16),"CHECK")))</f>
      </c>
      <c r="I16" s="94"/>
      <c r="J16" s="94"/>
      <c r="K16" s="93" t="str">
        <f>IF(NOT(ISNUMBER(H16)),"",IF(C8="First Term",H16,IF(C8="Second Term",IF(ISNUMBER(I16),AVERAGE(H16,I16),""),IF(AND(ISNUMBER(I16),ISNUMBER(J16)),AVERAGE(H16,I16,J16),""))))</f>
      </c>
      <c r="L16" s="95" t="str">
        <f>IF(ISNUMBER(IF(Settings!B10="Current term",H16,K16)),LOOKUP(IF(Settings!B10="Current term",H16,K16),Settings!$A$25:$A$30,Settings!$B$25:$B$30),"")</f>
      </c>
      <c r="M16" s="103"/>
      <c r="N16" s="91"/>
      <c r="O16" s="92" t="str">
        <f>IF(A16="","",IF(H16="CHECK","Check marks",IF(AND(ISNUMBER(H16),Settings!B10="Cumulative",K16=""),"Prior marks needed",IF(ISNUMBER(IF(Settings!B10="Current term",H16,K16)),LOOKUP(IF(Settings!B10="Current term",H16,K16),Settings!$A$25:$A$30,Settings!$C$25:$C$30),""))))</f>
      </c>
      <c r="P16" s="92"/>
      <c r="Q16"/>
      <c r="R16"/>
      <c r="S16"/>
      <c r="T16"/>
      <c r="U16"/>
    </row>
    <row r="17" ht="18.75" customHeight="1">
      <c r="A17" s="87" t="str">
        <v>Basic Science</v>
      </c>
      <c r="B17" s="87"/>
      <c r="C17" s="91"/>
      <c r="D17" s="91"/>
      <c r="E17" s="91"/>
      <c r="F17" s="91"/>
      <c r="G17" s="91"/>
      <c r="H17" s="89" t="str">
        <f>IF(A17="","",IF(COUNT(C17:G17)=0,"",IF(AND(Settings!B16=100,IF(Settings!B11=0,OR(C17="",C17=0),AND(ISNUMBER(C17),C17&gt;=0,C17&lt;=Settings!B11)),IF(Settings!B12=0,OR(D17="",D17=0),AND(ISNUMBER(D17),D17&gt;=0,D17&lt;=Settings!B12)),IF(Settings!B13=0,OR(E17="",E17=0),AND(ISNUMBER(E17),E17&gt;=0,E17&lt;=Settings!B13)),IF(Settings!B14=0,OR(F17="",F17=0),AND(ISNUMBER(F17),F17&gt;=0,F17&lt;=Settings!B14)),IF(Settings!B15=0,OR(G17="",G17=0),AND(ISNUMBER(G17),G17&gt;=0,G17&lt;=Settings!B15))),SUM(C17:G17),"CHECK")))</f>
      </c>
      <c r="I17" s="91"/>
      <c r="J17" s="91"/>
      <c r="K17" s="89" t="str">
        <f>IF(NOT(ISNUMBER(H17)),"",IF(C8="First Term",H17,IF(C8="Second Term",IF(ISNUMBER(I17),AVERAGE(H17,I17),""),IF(AND(ISNUMBER(I17),ISNUMBER(J17)),AVERAGE(H17,I17,J17),""))))</f>
      </c>
      <c r="L17" s="88" t="str">
        <f>IF(ISNUMBER(IF(Settings!B10="Current term",H17,K17)),LOOKUP(IF(Settings!B10="Current term",H17,K17),Settings!$A$25:$A$30,Settings!$B$25:$B$30),"")</f>
      </c>
      <c r="M17" s="103"/>
      <c r="N17" s="91"/>
      <c r="O17" s="87" t="str">
        <f>IF(A17="","",IF(H17="CHECK","Check marks",IF(AND(ISNUMBER(H17),Settings!B10="Cumulative",K17=""),"Prior marks needed",IF(ISNUMBER(IF(Settings!B10="Current term",H17,K17)),LOOKUP(IF(Settings!B10="Current term",H17,K17),Settings!$A$25:$A$30,Settings!$C$25:$C$30),""))))</f>
      </c>
      <c r="P17" s="87"/>
      <c r="Q17"/>
      <c r="R17"/>
      <c r="S17"/>
      <c r="T17"/>
      <c r="U17"/>
    </row>
    <row r="18" ht="18.75" customHeight="1">
      <c r="A18" s="92" t="str">
        <v>Physical and Health Education</v>
      </c>
      <c r="B18" s="92"/>
      <c r="C18" s="91"/>
      <c r="D18" s="91"/>
      <c r="E18" s="91"/>
      <c r="F18" s="91"/>
      <c r="G18" s="91"/>
      <c r="H18" s="93" t="str">
        <f>IF(A18="","",IF(COUNT(C18:G18)=0,"",IF(AND(Settings!B16=100,IF(Settings!B11=0,OR(C18="",C18=0),AND(ISNUMBER(C18),C18&gt;=0,C18&lt;=Settings!B11)),IF(Settings!B12=0,OR(D18="",D18=0),AND(ISNUMBER(D18),D18&gt;=0,D18&lt;=Settings!B12)),IF(Settings!B13=0,OR(E18="",E18=0),AND(ISNUMBER(E18),E18&gt;=0,E18&lt;=Settings!B13)),IF(Settings!B14=0,OR(F18="",F18=0),AND(ISNUMBER(F18),F18&gt;=0,F18&lt;=Settings!B14)),IF(Settings!B15=0,OR(G18="",G18=0),AND(ISNUMBER(G18),G18&gt;=0,G18&lt;=Settings!B15))),SUM(C18:G18),"CHECK")))</f>
      </c>
      <c r="I18" s="94"/>
      <c r="J18" s="94"/>
      <c r="K18" s="93" t="str">
        <f>IF(NOT(ISNUMBER(H18)),"",IF(C8="First Term",H18,IF(C8="Second Term",IF(ISNUMBER(I18),AVERAGE(H18,I18),""),IF(AND(ISNUMBER(I18),ISNUMBER(J18)),AVERAGE(H18,I18,J18),""))))</f>
      </c>
      <c r="L18" s="95" t="str">
        <f>IF(ISNUMBER(IF(Settings!B10="Current term",H18,K18)),LOOKUP(IF(Settings!B10="Current term",H18,K18),Settings!$A$25:$A$30,Settings!$B$25:$B$30),"")</f>
      </c>
      <c r="M18" s="103"/>
      <c r="N18" s="91"/>
      <c r="O18" s="92" t="str">
        <f>IF(A18="","",IF(H18="CHECK","Check marks",IF(AND(ISNUMBER(H18),Settings!B10="Cumulative",K18=""),"Prior marks needed",IF(ISNUMBER(IF(Settings!B10="Current term",H18,K18)),LOOKUP(IF(Settings!B10="Current term",H18,K18),Settings!$A$25:$A$30,Settings!$C$25:$C$30),""))))</f>
      </c>
      <c r="P18" s="92"/>
      <c r="Q18"/>
      <c r="R18"/>
      <c r="S18"/>
      <c r="T18"/>
      <c r="U18"/>
    </row>
    <row r="19" ht="18.75" customHeight="1">
      <c r="A19" s="87" t="str">
        <v>Religious Studies</v>
      </c>
      <c r="B19" s="87"/>
      <c r="C19" s="91"/>
      <c r="D19" s="91"/>
      <c r="E19" s="91"/>
      <c r="F19" s="91"/>
      <c r="G19" s="91"/>
      <c r="H19" s="89" t="str">
        <f>IF(A19="","",IF(COUNT(C19:G19)=0,"",IF(AND(Settings!B16=100,IF(Settings!B11=0,OR(C19="",C19=0),AND(ISNUMBER(C19),C19&gt;=0,C19&lt;=Settings!B11)),IF(Settings!B12=0,OR(D19="",D19=0),AND(ISNUMBER(D19),D19&gt;=0,D19&lt;=Settings!B12)),IF(Settings!B13=0,OR(E19="",E19=0),AND(ISNUMBER(E19),E19&gt;=0,E19&lt;=Settings!B13)),IF(Settings!B14=0,OR(F19="",F19=0),AND(ISNUMBER(F19),F19&gt;=0,F19&lt;=Settings!B14)),IF(Settings!B15=0,OR(G19="",G19=0),AND(ISNUMBER(G19),G19&gt;=0,G19&lt;=Settings!B15))),SUM(C19:G19),"CHECK")))</f>
      </c>
      <c r="I19" s="91"/>
      <c r="J19" s="91"/>
      <c r="K19" s="89" t="str">
        <f>IF(NOT(ISNUMBER(H19)),"",IF(C8="First Term",H19,IF(C8="Second Term",IF(ISNUMBER(I19),AVERAGE(H19,I19),""),IF(AND(ISNUMBER(I19),ISNUMBER(J19)),AVERAGE(H19,I19,J19),""))))</f>
      </c>
      <c r="L19" s="88" t="str">
        <f>IF(ISNUMBER(IF(Settings!B10="Current term",H19,K19)),LOOKUP(IF(Settings!B10="Current term",H19,K19),Settings!$A$25:$A$30,Settings!$B$25:$B$30),"")</f>
      </c>
      <c r="M19" s="103"/>
      <c r="N19" s="91"/>
      <c r="O19" s="87" t="str">
        <f>IF(A19="","",IF(H19="CHECK","Check marks",IF(AND(ISNUMBER(H19),Settings!B10="Cumulative",K19=""),"Prior marks needed",IF(ISNUMBER(IF(Settings!B10="Current term",H19,K19)),LOOKUP(IF(Settings!B10="Current term",H19,K19),Settings!$A$25:$A$30,Settings!$C$25:$C$30),""))))</f>
      </c>
      <c r="P19" s="87"/>
      <c r="Q19"/>
      <c r="R19"/>
      <c r="S19"/>
      <c r="T19"/>
      <c r="U19"/>
    </row>
    <row r="20" ht="18.75" customHeight="1">
      <c r="A20" s="92" t="str">
        <v>Nigerian History</v>
      </c>
      <c r="B20" s="92"/>
      <c r="C20" s="91"/>
      <c r="D20" s="91"/>
      <c r="E20" s="91"/>
      <c r="F20" s="91"/>
      <c r="G20" s="91"/>
      <c r="H20" s="93" t="str">
        <f>IF(A20="","",IF(COUNT(C20:G20)=0,"",IF(AND(Settings!B16=100,IF(Settings!B11=0,OR(C20="",C20=0),AND(ISNUMBER(C20),C20&gt;=0,C20&lt;=Settings!B11)),IF(Settings!B12=0,OR(D20="",D20=0),AND(ISNUMBER(D20),D20&gt;=0,D20&lt;=Settings!B12)),IF(Settings!B13=0,OR(E20="",E20=0),AND(ISNUMBER(E20),E20&gt;=0,E20&lt;=Settings!B13)),IF(Settings!B14=0,OR(F20="",F20=0),AND(ISNUMBER(F20),F20&gt;=0,F20&lt;=Settings!B14)),IF(Settings!B15=0,OR(G20="",G20=0),AND(ISNUMBER(G20),G20&gt;=0,G20&lt;=Settings!B15))),SUM(C20:G20),"CHECK")))</f>
      </c>
      <c r="I20" s="94"/>
      <c r="J20" s="94"/>
      <c r="K20" s="93" t="str">
        <f>IF(NOT(ISNUMBER(H20)),"",IF(C8="First Term",H20,IF(C8="Second Term",IF(ISNUMBER(I20),AVERAGE(H20,I20),""),IF(AND(ISNUMBER(I20),ISNUMBER(J20)),AVERAGE(H20,I20,J20),""))))</f>
      </c>
      <c r="L20" s="95" t="str">
        <f>IF(ISNUMBER(IF(Settings!B10="Current term",H20,K20)),LOOKUP(IF(Settings!B10="Current term",H20,K20),Settings!$A$25:$A$30,Settings!$B$25:$B$30),"")</f>
      </c>
      <c r="M20" s="103"/>
      <c r="N20" s="91"/>
      <c r="O20" s="92" t="str">
        <f>IF(A20="","",IF(H20="CHECK","Check marks",IF(AND(ISNUMBER(H20),Settings!B10="Cumulative",K20=""),"Prior marks needed",IF(ISNUMBER(IF(Settings!B10="Current term",H20,K20)),LOOKUP(IF(Settings!B10="Current term",H20,K20),Settings!$A$25:$A$30,Settings!$C$25:$C$30),""))))</f>
      </c>
      <c r="P20" s="92"/>
      <c r="Q20"/>
      <c r="R20"/>
      <c r="S20"/>
      <c r="T20"/>
      <c r="U20"/>
    </row>
    <row r="21" ht="18.75" customHeight="1">
      <c r="A21" s="87" t="str">
        <v>Social and Citizenship Studies</v>
      </c>
      <c r="B21" s="87"/>
      <c r="C21" s="91"/>
      <c r="D21" s="91"/>
      <c r="E21" s="91"/>
      <c r="F21" s="91"/>
      <c r="G21" s="91"/>
      <c r="H21" s="89" t="str">
        <f>IF(A21="","",IF(COUNT(C21:G21)=0,"",IF(AND(Settings!B16=100,IF(Settings!B11=0,OR(C21="",C21=0),AND(ISNUMBER(C21),C21&gt;=0,C21&lt;=Settings!B11)),IF(Settings!B12=0,OR(D21="",D21=0),AND(ISNUMBER(D21),D21&gt;=0,D21&lt;=Settings!B12)),IF(Settings!B13=0,OR(E21="",E21=0),AND(ISNUMBER(E21),E21&gt;=0,E21&lt;=Settings!B13)),IF(Settings!B14=0,OR(F21="",F21=0),AND(ISNUMBER(F21),F21&gt;=0,F21&lt;=Settings!B14)),IF(Settings!B15=0,OR(G21="",G21=0),AND(ISNUMBER(G21),G21&gt;=0,G21&lt;=Settings!B15))),SUM(C21:G21),"CHECK")))</f>
      </c>
      <c r="I21" s="91"/>
      <c r="J21" s="91"/>
      <c r="K21" s="89" t="str">
        <f>IF(NOT(ISNUMBER(H21)),"",IF(C8="First Term",H21,IF(C8="Second Term",IF(ISNUMBER(I21),AVERAGE(H21,I21),""),IF(AND(ISNUMBER(I21),ISNUMBER(J21)),AVERAGE(H21,I21,J21),""))))</f>
      </c>
      <c r="L21" s="88" t="str">
        <f>IF(ISNUMBER(IF(Settings!B10="Current term",H21,K21)),LOOKUP(IF(Settings!B10="Current term",H21,K21),Settings!$A$25:$A$30,Settings!$B$25:$B$30),"")</f>
      </c>
      <c r="M21" s="103"/>
      <c r="N21" s="91"/>
      <c r="O21" s="87" t="str">
        <f>IF(A21="","",IF(H21="CHECK","Check marks",IF(AND(ISNUMBER(H21),Settings!B10="Cumulative",K21=""),"Prior marks needed",IF(ISNUMBER(IF(Settings!B10="Current term",H21,K21)),LOOKUP(IF(Settings!B10="Current term",H21,K21),Settings!$A$25:$A$30,Settings!$C$25:$C$30),""))))</f>
      </c>
      <c r="P21" s="87"/>
      <c r="Q21"/>
      <c r="R21"/>
      <c r="S21"/>
      <c r="T21"/>
      <c r="U21"/>
    </row>
    <row r="22" ht="18.75" customHeight="1">
      <c r="A22" s="92" t="str">
        <v>Cultural and Creative Arts</v>
      </c>
      <c r="B22" s="92"/>
      <c r="C22" s="91"/>
      <c r="D22" s="91"/>
      <c r="E22" s="91"/>
      <c r="F22" s="91"/>
      <c r="G22" s="91"/>
      <c r="H22" s="93" t="str">
        <f>IF(A22="","",IF(COUNT(C22:G22)=0,"",IF(AND(Settings!B16=100,IF(Settings!B11=0,OR(C22="",C22=0),AND(ISNUMBER(C22),C22&gt;=0,C22&lt;=Settings!B11)),IF(Settings!B12=0,OR(D22="",D22=0),AND(ISNUMBER(D22),D22&gt;=0,D22&lt;=Settings!B12)),IF(Settings!B13=0,OR(E22="",E22=0),AND(ISNUMBER(E22),E22&gt;=0,E22&lt;=Settings!B13)),IF(Settings!B14=0,OR(F22="",F22=0),AND(ISNUMBER(F22),F22&gt;=0,F22&lt;=Settings!B14)),IF(Settings!B15=0,OR(G22="",G22=0),AND(ISNUMBER(G22),G22&gt;=0,G22&lt;=Settings!B15))),SUM(C22:G22),"CHECK")))</f>
      </c>
      <c r="I22" s="94"/>
      <c r="J22" s="94"/>
      <c r="K22" s="93" t="str">
        <f>IF(NOT(ISNUMBER(H22)),"",IF(C8="First Term",H22,IF(C8="Second Term",IF(ISNUMBER(I22),AVERAGE(H22,I22),""),IF(AND(ISNUMBER(I22),ISNUMBER(J22)),AVERAGE(H22,I22,J22),""))))</f>
      </c>
      <c r="L22" s="95" t="str">
        <f>IF(ISNUMBER(IF(Settings!B10="Current term",H22,K22)),LOOKUP(IF(Settings!B10="Current term",H22,K22),Settings!$A$25:$A$30,Settings!$B$25:$B$30),"")</f>
      </c>
      <c r="M22" s="103"/>
      <c r="N22" s="91"/>
      <c r="O22" s="92" t="str">
        <f>IF(A22="","",IF(H22="CHECK","Check marks",IF(AND(ISNUMBER(H22),Settings!B10="Cumulative",K22=""),"Prior marks needed",IF(ISNUMBER(IF(Settings!B10="Current term",H22,K22)),LOOKUP(IF(Settings!B10="Current term",H22,K22),Settings!$A$25:$A$30,Settings!$C$25:$C$30),""))))</f>
      </c>
      <c r="P22" s="92"/>
      <c r="Q22"/>
      <c r="R22"/>
      <c r="S22"/>
      <c r="T22"/>
      <c r="U22"/>
    </row>
    <row r="23" ht="18.75" customHeight="1">
      <c r="A23" s="87" t="str">
        <v>Agriculture</v>
      </c>
      <c r="B23" s="87"/>
      <c r="C23" s="91"/>
      <c r="D23" s="91"/>
      <c r="E23" s="91"/>
      <c r="F23" s="91"/>
      <c r="G23" s="91"/>
      <c r="H23" s="89" t="str">
        <f>IF(A23="","",IF(COUNT(C23:G23)=0,"",IF(AND(Settings!B16=100,IF(Settings!B11=0,OR(C23="",C23=0),AND(ISNUMBER(C23),C23&gt;=0,C23&lt;=Settings!B11)),IF(Settings!B12=0,OR(D23="",D23=0),AND(ISNUMBER(D23),D23&gt;=0,D23&lt;=Settings!B12)),IF(Settings!B13=0,OR(E23="",E23=0),AND(ISNUMBER(E23),E23&gt;=0,E23&lt;=Settings!B13)),IF(Settings!B14=0,OR(F23="",F23=0),AND(ISNUMBER(F23),F23&gt;=0,F23&lt;=Settings!B14)),IF(Settings!B15=0,OR(G23="",G23=0),AND(ISNUMBER(G23),G23&gt;=0,G23&lt;=Settings!B15))),SUM(C23:G23),"CHECK")))</f>
      </c>
      <c r="I23" s="91"/>
      <c r="J23" s="91"/>
      <c r="K23" s="89" t="str">
        <f>IF(NOT(ISNUMBER(H23)),"",IF(C8="First Term",H23,IF(C8="Second Term",IF(ISNUMBER(I23),AVERAGE(H23,I23),""),IF(AND(ISNUMBER(I23),ISNUMBER(J23)),AVERAGE(H23,I23,J23),""))))</f>
      </c>
      <c r="L23" s="88" t="str">
        <f>IF(ISNUMBER(IF(Settings!B10="Current term",H23,K23)),LOOKUP(IF(Settings!B10="Current term",H23,K23),Settings!$A$25:$A$30,Settings!$B$25:$B$30),"")</f>
      </c>
      <c r="M23" s="103"/>
      <c r="N23" s="91"/>
      <c r="O23" s="87" t="str">
        <f>IF(A23="","",IF(H23="CHECK","Check marks",IF(AND(ISNUMBER(H23),Settings!B10="Cumulative",K23=""),"Prior marks needed",IF(ISNUMBER(IF(Settings!B10="Current term",H23,K23)),LOOKUP(IF(Settings!B10="Current term",H23,K23),Settings!$A$25:$A$30,Settings!$C$25:$C$30),""))))</f>
      </c>
      <c r="P23" s="87"/>
      <c r="Q23"/>
      <c r="R23"/>
      <c r="S23"/>
      <c r="T23"/>
      <c r="U23"/>
    </row>
    <row r="24" ht="18.75" customHeight="1">
      <c r="A24" s="92" t="str">
        <v>Digital Technologies</v>
      </c>
      <c r="B24" s="92"/>
      <c r="C24" s="91"/>
      <c r="D24" s="91"/>
      <c r="E24" s="91"/>
      <c r="F24" s="91"/>
      <c r="G24" s="91"/>
      <c r="H24" s="93" t="str">
        <f>IF(A24="","",IF(COUNT(C24:G24)=0,"",IF(AND(Settings!B16=100,IF(Settings!B11=0,OR(C24="",C24=0),AND(ISNUMBER(C24),C24&gt;=0,C24&lt;=Settings!B11)),IF(Settings!B12=0,OR(D24="",D24=0),AND(ISNUMBER(D24),D24&gt;=0,D24&lt;=Settings!B12)),IF(Settings!B13=0,OR(E24="",E24=0),AND(ISNUMBER(E24),E24&gt;=0,E24&lt;=Settings!B13)),IF(Settings!B14=0,OR(F24="",F24=0),AND(ISNUMBER(F24),F24&gt;=0,F24&lt;=Settings!B14)),IF(Settings!B15=0,OR(G24="",G24=0),AND(ISNUMBER(G24),G24&gt;=0,G24&lt;=Settings!B15))),SUM(C24:G24),"CHECK")))</f>
      </c>
      <c r="I24" s="94"/>
      <c r="J24" s="94"/>
      <c r="K24" s="93" t="str">
        <f>IF(NOT(ISNUMBER(H24)),"",IF(C8="First Term",H24,IF(C8="Second Term",IF(ISNUMBER(I24),AVERAGE(H24,I24),""),IF(AND(ISNUMBER(I24),ISNUMBER(J24)),AVERAGE(H24,I24,J24),""))))</f>
      </c>
      <c r="L24" s="95" t="str">
        <f>IF(ISNUMBER(IF(Settings!B10="Current term",H24,K24)),LOOKUP(IF(Settings!B10="Current term",H24,K24),Settings!$A$25:$A$30,Settings!$B$25:$B$30),"")</f>
      </c>
      <c r="M24" s="103"/>
      <c r="N24" s="91"/>
      <c r="O24" s="92" t="str">
        <f>IF(A24="","",IF(H24="CHECK","Check marks",IF(AND(ISNUMBER(H24),Settings!B10="Cumulative",K24=""),"Prior marks needed",IF(ISNUMBER(IF(Settings!B10="Current term",H24,K24)),LOOKUP(IF(Settings!B10="Current term",H24,K24),Settings!$A$25:$A$30,Settings!$C$25:$C$30),""))))</f>
      </c>
      <c r="P24" s="92"/>
      <c r="Q24"/>
      <c r="R24"/>
      <c r="S24"/>
      <c r="T24"/>
      <c r="U24"/>
    </row>
    <row r="25" ht="18.75" customHeight="1">
      <c r="A25" s="87" t="str">
        <v>French</v>
      </c>
      <c r="B25" s="87"/>
      <c r="C25" s="91"/>
      <c r="D25" s="91"/>
      <c r="E25" s="91"/>
      <c r="F25" s="91"/>
      <c r="G25" s="91"/>
      <c r="H25" s="89" t="str">
        <f>IF(A25="","",IF(COUNT(C25:G25)=0,"",IF(AND(Settings!B16=100,IF(Settings!B11=0,OR(C25="",C25=0),AND(ISNUMBER(C25),C25&gt;=0,C25&lt;=Settings!B11)),IF(Settings!B12=0,OR(D25="",D25=0),AND(ISNUMBER(D25),D25&gt;=0,D25&lt;=Settings!B12)),IF(Settings!B13=0,OR(E25="",E25=0),AND(ISNUMBER(E25),E25&gt;=0,E25&lt;=Settings!B13)),IF(Settings!B14=0,OR(F25="",F25=0),AND(ISNUMBER(F25),F25&gt;=0,F25&lt;=Settings!B14)),IF(Settings!B15=0,OR(G25="",G25=0),AND(ISNUMBER(G25),G25&gt;=0,G25&lt;=Settings!B15))),SUM(C25:G25),"CHECK")))</f>
      </c>
      <c r="I25" s="91"/>
      <c r="J25" s="91"/>
      <c r="K25" s="89" t="str">
        <f>IF(NOT(ISNUMBER(H25)),"",IF(C8="First Term",H25,IF(C8="Second Term",IF(ISNUMBER(I25),AVERAGE(H25,I25),""),IF(AND(ISNUMBER(I25),ISNUMBER(J25)),AVERAGE(H25,I25,J25),""))))</f>
      </c>
      <c r="L25" s="88" t="str">
        <f>IF(ISNUMBER(IF(Settings!B10="Current term",H25,K25)),LOOKUP(IF(Settings!B10="Current term",H25,K25),Settings!$A$25:$A$30,Settings!$B$25:$B$30),"")</f>
      </c>
      <c r="M25" s="103"/>
      <c r="N25" s="91"/>
      <c r="O25" s="87" t="str">
        <f>IF(A25="","",IF(H25="CHECK","Check marks",IF(AND(ISNUMBER(H25),Settings!B10="Cumulative",K25=""),"Prior marks needed",IF(ISNUMBER(IF(Settings!B10="Current term",H25,K25)),LOOKUP(IF(Settings!B10="Current term",H25,K25),Settings!$A$25:$A$30,Settings!$C$25:$C$30),""))))</f>
      </c>
      <c r="P25" s="87"/>
      <c r="Q25"/>
      <c r="R25"/>
      <c r="S25"/>
      <c r="T25"/>
      <c r="U25"/>
    </row>
    <row r="26" ht="18.75" customHeight="1">
      <c r="A26" s="92" t="str">
        <v>Business Studies</v>
      </c>
      <c r="B26" s="92"/>
      <c r="C26" s="91"/>
      <c r="D26" s="91"/>
      <c r="E26" s="91"/>
      <c r="F26" s="91"/>
      <c r="G26" s="91"/>
      <c r="H26" s="93" t="str">
        <f>IF(A26="","",IF(COUNT(C26:G26)=0,"",IF(AND(Settings!B16=100,IF(Settings!B11=0,OR(C26="",C26=0),AND(ISNUMBER(C26),C26&gt;=0,C26&lt;=Settings!B11)),IF(Settings!B12=0,OR(D26="",D26=0),AND(ISNUMBER(D26),D26&gt;=0,D26&lt;=Settings!B12)),IF(Settings!B13=0,OR(E26="",E26=0),AND(ISNUMBER(E26),E26&gt;=0,E26&lt;=Settings!B13)),IF(Settings!B14=0,OR(F26="",F26=0),AND(ISNUMBER(F26),F26&gt;=0,F26&lt;=Settings!B14)),IF(Settings!B15=0,OR(G26="",G26=0),AND(ISNUMBER(G26),G26&gt;=0,G26&lt;=Settings!B15))),SUM(C26:G26),"CHECK")))</f>
      </c>
      <c r="I26" s="94"/>
      <c r="J26" s="94"/>
      <c r="K26" s="93" t="str">
        <f>IF(NOT(ISNUMBER(H26)),"",IF(C8="First Term",H26,IF(C8="Second Term",IF(ISNUMBER(I26),AVERAGE(H26,I26),""),IF(AND(ISNUMBER(I26),ISNUMBER(J26)),AVERAGE(H26,I26,J26),""))))</f>
      </c>
      <c r="L26" s="95" t="str">
        <f>IF(ISNUMBER(IF(Settings!B10="Current term",H26,K26)),LOOKUP(IF(Settings!B10="Current term",H26,K26),Settings!$A$25:$A$30,Settings!$B$25:$B$30),"")</f>
      </c>
      <c r="M26" s="103"/>
      <c r="N26" s="91"/>
      <c r="O26" s="92" t="str">
        <f>IF(A26="","",IF(H26="CHECK","Check marks",IF(AND(ISNUMBER(H26),Settings!B10="Cumulative",K26=""),"Prior marks needed",IF(ISNUMBER(IF(Settings!B10="Current term",H26,K26)),LOOKUP(IF(Settings!B10="Current term",H26,K26),Settings!$A$25:$A$30,Settings!$C$25:$C$30),""))))</f>
      </c>
      <c r="P26" s="92"/>
      <c r="Q26"/>
      <c r="R26"/>
      <c r="S26"/>
      <c r="T26"/>
      <c r="U26"/>
    </row>
    <row r="27" ht="13.5" customHeight="1">
      <c r="A27" s="74" t="str">
        <v>Current-term total</v>
      </c>
      <c r="B27" s="74"/>
      <c r="C27" s="74"/>
      <c r="D27" s="74"/>
      <c r="E27" s="74"/>
      <c r="F27" s="74"/>
      <c r="G27" s="74"/>
      <c r="H27" s="95" t="str">
        <f>IF(AND(COUNTA(A14:A26)&gt;0,COUNT(H14:H26)=COUNTA(A14:A26)),SUM(H14:H26),"")</f>
      </c>
      <c r="I27" s="74" t="str">
        <v>Out of</v>
      </c>
      <c r="J27" s="74"/>
      <c r="K27" s="74"/>
      <c r="L27" s="74"/>
      <c r="M27" s="95" t="n">
        <f>COUNTA(A14:A26)*100</f>
        <v>1300</v>
      </c>
      <c r="N27" s="95"/>
      <c r="O27" s="95"/>
      <c r="P27" s="95"/>
      <c r="Q27"/>
      <c r="R27"/>
      <c r="S27"/>
      <c r="T27"/>
      <c r="U27"/>
    </row>
    <row r="28" ht="13.5" customHeight="1">
      <c r="A28" s="67" t="str">
        <v>Term average</v>
      </c>
      <c r="B28" s="67"/>
      <c r="C28" s="101" t="str">
        <f>IF(ISNUMBER(H27),H27/COUNTA(A14:A26),"")</f>
      </c>
      <c r="D28" s="101"/>
      <c r="E28" s="101"/>
      <c r="F28" s="67" t="str">
        <v>Overall grade</v>
      </c>
      <c r="G28" s="67"/>
      <c r="H28" s="67"/>
      <c r="I28" s="88" t="str">
        <f>IF(ISNUMBER(C28),LOOKUP(C28,Settings!$A$25:$A$30,Settings!$B$25:$B$30),"")</f>
      </c>
      <c r="J28" s="88"/>
      <c r="K28" s="67" t="str">
        <v>Class size</v>
      </c>
      <c r="L28" s="67"/>
      <c r="M28" s="67"/>
      <c r="N28" s="88" t="str">
        <f>IF(ISNUMBER(A104),A104,IF(COUNTA('Class marks'!A6:A55)=0,"",COUNTA('Class marks'!A6:A55)))</f>
      </c>
      <c r="O28" s="88"/>
      <c r="P28" s="88"/>
      <c r="Q28"/>
      <c r="R28"/>
      <c r="S28"/>
      <c r="T28"/>
      <c r="U28"/>
    </row>
    <row r="29" ht="13.5" customHeight="1">
      <c r="A29" s="67" t="str">
        <v>Overall position</v>
      </c>
      <c r="B29" s="67"/>
      <c r="C29" s="88" t="str">
        <f>IF(ISNUMBER(A105),A105,IF(AND(ISNUMBER(C28),COUNT('Class marks'!C6:C55)=COUNTA('Class marks'!A6:A55),COUNTA('Class marks'!A6:A55)&gt;0),COUNTIF('Class marks'!C6:C55,"&gt;"&amp;C28)+1,""))</f>
      </c>
      <c r="D29" s="88"/>
      <c r="E29" s="88"/>
      <c r="F29" s="67" t="str">
        <v>Progression</v>
      </c>
      <c r="G29" s="67"/>
      <c r="H29" s="67"/>
      <c r="I29" s="79" t="str"/>
      <c r="J29" s="79"/>
      <c r="K29" s="79"/>
      <c r="L29" s="79"/>
      <c r="M29" s="79"/>
      <c r="N29" s="79"/>
      <c r="O29" s="79"/>
      <c r="P29" s="79"/>
      <c r="Q29"/>
      <c r="R29"/>
      <c r="S29"/>
      <c r="T29"/>
      <c r="U29"/>
    </row>
    <row r="30" ht="13.5" customHeight="1">
      <c r="A30" s="67" t="str">
        <v>School days</v>
      </c>
      <c r="B30" s="67"/>
      <c r="C30" s="79" t="str"/>
      <c r="D30" s="79"/>
      <c r="E30" s="79"/>
      <c r="F30" s="67" t="str">
        <v>Present</v>
      </c>
      <c r="G30" s="67"/>
      <c r="H30" s="79" t="str"/>
      <c r="I30" s="79"/>
      <c r="J30" s="67" t="str">
        <v>Absent</v>
      </c>
      <c r="K30" s="67"/>
      <c r="L30" s="79" t="str"/>
      <c r="M30" s="79"/>
      <c r="N30" s="67" t="str">
        <v>Leave</v>
      </c>
      <c r="O30" s="67"/>
      <c r="P30" s="79"/>
      <c r="Q30"/>
      <c r="R30"/>
      <c r="S30"/>
      <c r="T30"/>
      <c r="U30"/>
    </row>
    <row r="31" ht="13.5" customHeight="1">
      <c r="A31" s="97" t="str">
        <f>"Grade minima: "&amp;Settings!B25&amp;" ≥ "&amp;Settings!A25&amp;"; "&amp;Settings!B26&amp;" ≥ "&amp;Settings!A26&amp;"; "&amp;Settings!B27&amp;" ≥ "&amp;Settings!A27&amp;"; "&amp;Settings!B28&amp;" ≥ "&amp;Settings!A28&amp;"; "&amp;Settings!B29&amp;" ≥ "&amp;Settings!A29&amp;"; "&amp;Settings!B30&amp;" ≥ "&amp;Settings!A30</f>
        <v>Grade minima: F ≥ 0; E ≥ 40; D ≥ 45; C ≥ 55; B ≥ 65; A ≥ 75</v>
      </c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/>
      <c r="R31"/>
      <c r="S31"/>
      <c r="T31"/>
      <c r="U31"/>
    </row>
    <row r="32" ht="13.5" customHeight="1">
      <c r="A32" s="97"/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/>
      <c r="R32"/>
      <c r="S32"/>
      <c r="T32"/>
      <c r="U32"/>
    </row>
    <row r="33" ht="14.25" customHeight="1">
      <c r="A33" s="82" t="str">
        <v>AFFECTIVE DEVELOPMENT</v>
      </c>
      <c r="B33" s="82"/>
      <c r="C33" s="82"/>
      <c r="D33" s="82"/>
      <c r="E33" s="82"/>
      <c r="F33" s="82"/>
      <c r="G33" s="82"/>
      <c r="H33" s="82"/>
      <c r="I33" s="82" t="str">
        <v>PSYCHOMOTOR DEVELOPMENT</v>
      </c>
      <c r="J33" s="82"/>
      <c r="K33" s="82"/>
      <c r="L33" s="82"/>
      <c r="M33" s="82"/>
      <c r="N33" s="82"/>
      <c r="O33" s="82"/>
      <c r="P33" s="82"/>
      <c r="Q33"/>
      <c r="R33"/>
      <c r="S33"/>
      <c r="T33"/>
      <c r="U33"/>
    </row>
    <row r="34" ht="13.5" customHeight="1">
      <c r="A34" s="67" t="str">
        <v>Punctuality</v>
      </c>
      <c r="B34" s="67"/>
      <c r="C34" s="67"/>
      <c r="D34" s="67"/>
      <c r="E34" s="67"/>
      <c r="F34" s="67"/>
      <c r="G34" s="79" t="str"/>
      <c r="H34" s="79"/>
      <c r="I34" s="67" t="str">
        <v>Handwriting</v>
      </c>
      <c r="J34" s="67"/>
      <c r="K34" s="67"/>
      <c r="L34" s="67"/>
      <c r="M34" s="67"/>
      <c r="N34" s="67"/>
      <c r="O34" s="79" t="str"/>
      <c r="P34" s="79"/>
      <c r="Q34"/>
      <c r="R34"/>
      <c r="S34"/>
      <c r="T34"/>
      <c r="U34"/>
    </row>
    <row r="35" ht="13.5" customHeight="1">
      <c r="A35" s="67" t="str">
        <v>Neatness</v>
      </c>
      <c r="B35" s="67"/>
      <c r="C35" s="67"/>
      <c r="D35" s="67"/>
      <c r="E35" s="67"/>
      <c r="F35" s="67"/>
      <c r="G35" s="79" t="str"/>
      <c r="H35" s="79"/>
      <c r="I35" s="67" t="str">
        <v>Verbal communication</v>
      </c>
      <c r="J35" s="67"/>
      <c r="K35" s="67"/>
      <c r="L35" s="67"/>
      <c r="M35" s="67"/>
      <c r="N35" s="67"/>
      <c r="O35" s="79" t="str"/>
      <c r="P35" s="79"/>
      <c r="Q35"/>
      <c r="R35"/>
      <c r="S35"/>
      <c r="T35"/>
      <c r="U35"/>
    </row>
    <row r="36" ht="13.5" customHeight="1">
      <c r="A36" s="67" t="str">
        <v>Attentiveness</v>
      </c>
      <c r="B36" s="67"/>
      <c r="C36" s="67"/>
      <c r="D36" s="67"/>
      <c r="E36" s="67"/>
      <c r="F36" s="67"/>
      <c r="G36" s="79" t="str"/>
      <c r="H36" s="79"/>
      <c r="I36" s="67" t="str">
        <v>Reading fluency</v>
      </c>
      <c r="J36" s="67"/>
      <c r="K36" s="67"/>
      <c r="L36" s="67"/>
      <c r="M36" s="67"/>
      <c r="N36" s="67"/>
      <c r="O36" s="79" t="str"/>
      <c r="P36" s="79"/>
      <c r="Q36"/>
      <c r="R36"/>
      <c r="S36"/>
      <c r="T36"/>
      <c r="U36"/>
    </row>
    <row r="37" ht="13.5" customHeight="1">
      <c r="A37" s="67" t="str">
        <v>Participation</v>
      </c>
      <c r="B37" s="67"/>
      <c r="C37" s="67"/>
      <c r="D37" s="67"/>
      <c r="E37" s="67"/>
      <c r="F37" s="67"/>
      <c r="G37" s="79" t="str"/>
      <c r="H37" s="79"/>
      <c r="I37" s="67" t="str">
        <v>Drawing / creativity</v>
      </c>
      <c r="J37" s="67"/>
      <c r="K37" s="67"/>
      <c r="L37" s="67"/>
      <c r="M37" s="67"/>
      <c r="N37" s="67"/>
      <c r="O37" s="79" t="str"/>
      <c r="P37" s="79"/>
      <c r="Q37"/>
      <c r="R37"/>
      <c r="S37"/>
      <c r="T37"/>
      <c r="U37"/>
    </row>
    <row r="38" ht="13.5" customHeight="1">
      <c r="A38" s="67" t="str">
        <v>Honesty</v>
      </c>
      <c r="B38" s="67"/>
      <c r="C38" s="67"/>
      <c r="D38" s="67"/>
      <c r="E38" s="67"/>
      <c r="F38" s="67"/>
      <c r="G38" s="79" t="str"/>
      <c r="H38" s="79"/>
      <c r="I38" s="67" t="str">
        <v>Practical skills</v>
      </c>
      <c r="J38" s="67"/>
      <c r="K38" s="67"/>
      <c r="L38" s="67"/>
      <c r="M38" s="67"/>
      <c r="N38" s="67"/>
      <c r="O38" s="79" t="str"/>
      <c r="P38" s="79"/>
      <c r="Q38"/>
      <c r="R38"/>
      <c r="S38"/>
      <c r="T38"/>
      <c r="U38"/>
    </row>
    <row r="39" ht="13.5" customHeight="1">
      <c r="A39" s="67" t="str">
        <v>Self-control</v>
      </c>
      <c r="B39" s="67"/>
      <c r="C39" s="67"/>
      <c r="D39" s="67"/>
      <c r="E39" s="67"/>
      <c r="F39" s="67"/>
      <c r="G39" s="79" t="str"/>
      <c r="H39" s="79"/>
      <c r="I39" s="67" t="str">
        <v>Sports / coordination</v>
      </c>
      <c r="J39" s="67"/>
      <c r="K39" s="67"/>
      <c r="L39" s="67"/>
      <c r="M39" s="67"/>
      <c r="N39" s="67"/>
      <c r="O39" s="79" t="str"/>
      <c r="P39" s="79"/>
      <c r="Q39"/>
      <c r="R39"/>
      <c r="S39"/>
      <c r="T39"/>
      <c r="U39"/>
    </row>
    <row r="40" ht="13.5" customHeight="1">
      <c r="A40" s="67" t="str">
        <v>Cooperation</v>
      </c>
      <c r="B40" s="67"/>
      <c r="C40" s="67"/>
      <c r="D40" s="67"/>
      <c r="E40" s="67"/>
      <c r="F40" s="67"/>
      <c r="G40" s="79" t="str"/>
      <c r="H40" s="79"/>
      <c r="I40" s="67" t="str">
        <v>Music / rhythm</v>
      </c>
      <c r="J40" s="67"/>
      <c r="K40" s="67"/>
      <c r="L40" s="67"/>
      <c r="M40" s="67"/>
      <c r="N40" s="67"/>
      <c r="O40" s="79" t="str"/>
      <c r="P40" s="79"/>
      <c r="Q40"/>
      <c r="R40"/>
      <c r="S40"/>
      <c r="T40"/>
      <c r="U40"/>
    </row>
    <row r="41" ht="13.5" customHeight="1">
      <c r="A41" s="67" t="str">
        <v>Responsibility</v>
      </c>
      <c r="B41" s="67"/>
      <c r="C41" s="67"/>
      <c r="D41" s="67"/>
      <c r="E41" s="67"/>
      <c r="F41" s="67"/>
      <c r="G41" s="79" t="str"/>
      <c r="H41" s="79"/>
      <c r="I41" s="67" t="str">
        <v>Independent work</v>
      </c>
      <c r="J41" s="67"/>
      <c r="K41" s="67"/>
      <c r="L41" s="67"/>
      <c r="M41" s="67"/>
      <c r="N41" s="67"/>
      <c r="O41" s="79" t="str"/>
      <c r="P41" s="79"/>
      <c r="Q41"/>
      <c r="R41"/>
      <c r="S41"/>
      <c r="T41"/>
      <c r="U41"/>
    </row>
    <row r="42" ht="13.5" customHeight="1">
      <c r="A42" s="98" t="str">
        <v>Rating: 5 consistently • 4 usually • 3 sometimes • 2 developing • 1 needs support</v>
      </c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/>
      <c r="R42"/>
      <c r="S42"/>
      <c r="T42"/>
      <c r="U42"/>
    </row>
    <row r="43" ht="13.5" customHeight="1">
      <c r="A43" s="67" t="str">
        <v>Teacher remark</v>
      </c>
      <c r="B43" s="67"/>
      <c r="C43" s="99" t="str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/>
      <c r="R43"/>
      <c r="S43"/>
      <c r="T43"/>
      <c r="U43"/>
    </row>
    <row r="44" ht="13.5" customHeight="1">
      <c r="A44" s="67"/>
      <c r="B44" s="67"/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/>
      <c r="R44"/>
      <c r="S44"/>
      <c r="T44"/>
      <c r="U44"/>
    </row>
    <row r="45" ht="13.5" customHeight="1">
      <c r="A45" s="67" t="str">
        <v>Head remark</v>
      </c>
      <c r="B45" s="67"/>
      <c r="C45" s="99" t="str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/>
      <c r="R45"/>
      <c r="S45"/>
      <c r="T45"/>
      <c r="U45"/>
    </row>
    <row r="46" ht="13.5" customHeight="1">
      <c r="A46" s="67"/>
      <c r="B46" s="67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/>
      <c r="R46"/>
      <c r="S46"/>
      <c r="T46"/>
      <c r="U46"/>
    </row>
    <row r="47" ht="13.5" customHeight="1">
      <c r="A47" s="67" t="str"/>
      <c r="B47" s="67"/>
      <c r="C47" s="67"/>
      <c r="D47" s="67"/>
      <c r="E47" s="67"/>
      <c r="F47" s="67"/>
      <c r="G47" s="67"/>
      <c r="H47" s="67"/>
      <c r="I47" s="67" t="str"/>
      <c r="J47" s="67"/>
      <c r="K47" s="67"/>
      <c r="L47" s="67"/>
      <c r="M47" s="67"/>
      <c r="N47" s="67"/>
      <c r="O47" s="95" t="str">
        <v>QR</v>
      </c>
      <c r="P47" s="95"/>
      <c r="Q47"/>
      <c r="R47"/>
      <c r="S47"/>
      <c r="T47"/>
      <c r="U47"/>
    </row>
    <row r="48" ht="13.5" customHeight="1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95"/>
      <c r="P48" s="95"/>
      <c r="Q48"/>
      <c r="R48"/>
      <c r="S48"/>
      <c r="T48"/>
      <c r="U48"/>
    </row>
    <row r="49" ht="13.5" customHeight="1">
      <c r="A49" s="79" t="str"/>
      <c r="B49" s="79"/>
      <c r="C49" s="79"/>
      <c r="D49" s="79"/>
      <c r="E49" s="79"/>
      <c r="F49" s="79"/>
      <c r="G49" s="79"/>
      <c r="H49" s="67"/>
      <c r="I49" s="79" t="str"/>
      <c r="J49" s="79"/>
      <c r="K49" s="79"/>
      <c r="L49" s="79"/>
      <c r="M49" s="79"/>
      <c r="N49" s="79"/>
      <c r="O49" s="95"/>
      <c r="P49" s="95"/>
      <c r="Q49"/>
      <c r="R49"/>
      <c r="S49"/>
      <c r="T49"/>
      <c r="U49"/>
    </row>
    <row r="50" ht="13.5" customHeight="1">
      <c r="A50" s="67" t="str">
        <v>Class teacher / signature</v>
      </c>
      <c r="B50" s="67"/>
      <c r="C50" s="67"/>
      <c r="D50" s="67"/>
      <c r="E50" s="67"/>
      <c r="F50" s="67"/>
      <c r="G50" s="67"/>
      <c r="H50" s="67"/>
      <c r="I50" s="67" t="str">
        <v>Head teacher / signature</v>
      </c>
      <c r="J50" s="67"/>
      <c r="K50" s="67"/>
      <c r="L50" s="67"/>
      <c r="M50" s="67"/>
      <c r="N50" s="67"/>
      <c r="O50" s="95"/>
      <c r="P50" s="95"/>
      <c r="Q50"/>
      <c r="R50"/>
      <c r="S50"/>
      <c r="T50"/>
      <c r="U50"/>
    </row>
    <row r="51" ht="13.5" customHeight="1">
      <c r="A51" s="100" t="str"/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/>
      <c r="R51"/>
      <c r="S51"/>
      <c r="T51"/>
      <c r="U51"/>
    </row>
    <row r="52" ht="22" customHeight="1" hidden="1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</row>
    <row r="53" ht="22" customHeight="1" hidden="1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</row>
    <row r="54" ht="22" customHeight="1" hidden="1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</row>
    <row r="55" ht="22" customHeight="1" hidden="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</row>
    <row r="56" ht="22" customHeight="1" hidden="1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</row>
    <row r="57" ht="22" customHeight="1" hidden="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</row>
    <row r="58" ht="22" customHeight="1" hidden="1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</row>
    <row r="59" ht="22" customHeight="1" hidden="1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</row>
    <row r="60" ht="22" customHeight="1" hidden="1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</row>
    <row r="61" ht="22" customHeight="1" hidden="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</row>
    <row r="62" ht="22" customHeight="1" hidden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</row>
    <row r="63" ht="22" customHeight="1" hidden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</row>
    <row r="64" ht="22" customHeight="1" hidden="1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</row>
    <row r="65" ht="22" customHeight="1" hidden="1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</row>
    <row r="66" ht="22" customHeight="1" hidden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</row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>
      <c r="A102"/>
    </row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</sheetData>
  <mergeCells>
    <mergeCell ref="A2:B5"/>
    <mergeCell ref="C2:M3"/>
    <mergeCell ref="C4:M4"/>
    <mergeCell ref="C5:M5"/>
    <mergeCell ref="N2:P5"/>
    <mergeCell ref="A6:B6"/>
    <mergeCell ref="C6:P6"/>
    <mergeCell ref="A7:B7"/>
    <mergeCell ref="C7:H7"/>
    <mergeCell ref="I7:K7"/>
    <mergeCell ref="L7:P7"/>
    <mergeCell ref="A8:B8"/>
    <mergeCell ref="C8:H8"/>
    <mergeCell ref="I8:K8"/>
    <mergeCell ref="L8:P8"/>
    <mergeCell ref="A9:B9"/>
    <mergeCell ref="C9:H9"/>
    <mergeCell ref="I9:K9"/>
    <mergeCell ref="L9:P9"/>
    <mergeCell ref="C10:D10"/>
    <mergeCell ref="F10:H10"/>
    <mergeCell ref="I10:K10"/>
    <mergeCell ref="L10:N10"/>
    <mergeCell ref="O10:P10"/>
    <mergeCell ref="A11:P11"/>
    <mergeCell ref="A12:B12"/>
    <mergeCell ref="O12:P12"/>
    <mergeCell ref="A13:P13"/>
    <mergeCell ref="A14:B14"/>
    <mergeCell ref="O14:P14"/>
    <mergeCell ref="A15:B15"/>
    <mergeCell ref="O15:P15"/>
    <mergeCell ref="A16:B16"/>
    <mergeCell ref="O16:P16"/>
    <mergeCell ref="A17:B17"/>
    <mergeCell ref="O17:P17"/>
    <mergeCell ref="A18:B18"/>
    <mergeCell ref="O18:P18"/>
    <mergeCell ref="A19:B19"/>
    <mergeCell ref="O19:P19"/>
    <mergeCell ref="A20:B20"/>
    <mergeCell ref="O20:P20"/>
    <mergeCell ref="A21:B21"/>
    <mergeCell ref="O21:P21"/>
    <mergeCell ref="A22:B22"/>
    <mergeCell ref="O22:P22"/>
    <mergeCell ref="A23:B23"/>
    <mergeCell ref="O23:P23"/>
    <mergeCell ref="A24:B24"/>
    <mergeCell ref="O24:P24"/>
    <mergeCell ref="A25:B25"/>
    <mergeCell ref="O25:P25"/>
    <mergeCell ref="A26:B26"/>
    <mergeCell ref="O26:P26"/>
    <mergeCell ref="A27:G27"/>
    <mergeCell ref="I27:L27"/>
    <mergeCell ref="M27:P27"/>
    <mergeCell ref="A28:B28"/>
    <mergeCell ref="C28:E28"/>
    <mergeCell ref="F28:H28"/>
    <mergeCell ref="I28:J28"/>
    <mergeCell ref="K28:M28"/>
    <mergeCell ref="N28:P28"/>
    <mergeCell ref="A29:B29"/>
    <mergeCell ref="C29:E29"/>
    <mergeCell ref="F29:H29"/>
    <mergeCell ref="I29:P29"/>
    <mergeCell ref="A30:B30"/>
    <mergeCell ref="C30:E30"/>
    <mergeCell ref="F30:G30"/>
    <mergeCell ref="H30:I30"/>
    <mergeCell ref="J30:K30"/>
    <mergeCell ref="L30:M30"/>
    <mergeCell ref="N30:O30"/>
    <mergeCell ref="A31:P32"/>
    <mergeCell ref="A33:H33"/>
    <mergeCell ref="I33:P33"/>
    <mergeCell ref="A34:F34"/>
    <mergeCell ref="G34:H34"/>
    <mergeCell ref="I34:N34"/>
    <mergeCell ref="O34:P34"/>
    <mergeCell ref="A35:F35"/>
    <mergeCell ref="G35:H35"/>
    <mergeCell ref="I35:N35"/>
    <mergeCell ref="O35:P35"/>
    <mergeCell ref="A36:F36"/>
    <mergeCell ref="G36:H36"/>
    <mergeCell ref="I36:N36"/>
    <mergeCell ref="O36:P36"/>
    <mergeCell ref="A37:F37"/>
    <mergeCell ref="G37:H37"/>
    <mergeCell ref="I37:N37"/>
    <mergeCell ref="O37:P37"/>
    <mergeCell ref="A38:F38"/>
    <mergeCell ref="G38:H38"/>
    <mergeCell ref="I38:N38"/>
    <mergeCell ref="O38:P38"/>
    <mergeCell ref="A39:F39"/>
    <mergeCell ref="G39:H39"/>
    <mergeCell ref="I39:N39"/>
    <mergeCell ref="O39:P39"/>
    <mergeCell ref="A40:F40"/>
    <mergeCell ref="G40:H40"/>
    <mergeCell ref="I40:N40"/>
    <mergeCell ref="O40:P40"/>
    <mergeCell ref="A41:F41"/>
    <mergeCell ref="G41:H41"/>
    <mergeCell ref="I41:N41"/>
    <mergeCell ref="O41:P41"/>
    <mergeCell ref="A42:P42"/>
    <mergeCell ref="A43:B44"/>
    <mergeCell ref="C43:P44"/>
    <mergeCell ref="A45:B46"/>
    <mergeCell ref="C45:P46"/>
    <mergeCell ref="A47:G48"/>
    <mergeCell ref="I47:N48"/>
    <mergeCell ref="O47:P50"/>
    <mergeCell ref="A49:G49"/>
    <mergeCell ref="I49:N49"/>
    <mergeCell ref="A50:G50"/>
    <mergeCell ref="I50:N50"/>
    <mergeCell ref="A51:P51"/>
  </mergeCells>
  <conditionalFormatting sqref="C14:C14">
    <cfRule type="expression" dxfId="1" priority="2">
      <formula>C$12="—"</formula>
    </cfRule>
  </conditionalFormatting>
  <conditionalFormatting sqref="D14:D14">
    <cfRule type="expression" dxfId="2" priority="3">
      <formula>D$12="—"</formula>
    </cfRule>
  </conditionalFormatting>
  <conditionalFormatting sqref="E14:E14">
    <cfRule type="expression" dxfId="3" priority="4">
      <formula>E$12="—"</formula>
    </cfRule>
  </conditionalFormatting>
  <conditionalFormatting sqref="F14:F14">
    <cfRule type="expression" dxfId="4" priority="5">
      <formula>F$12="—"</formula>
    </cfRule>
  </conditionalFormatting>
  <conditionalFormatting sqref="G14:G14">
    <cfRule type="expression" dxfId="5" priority="6">
      <formula>G$12="—"</formula>
    </cfRule>
  </conditionalFormatting>
  <conditionalFormatting sqref="C15:C15">
    <cfRule type="expression" dxfId="6" priority="7">
      <formula>C$12="—"</formula>
    </cfRule>
  </conditionalFormatting>
  <conditionalFormatting sqref="D15:D15">
    <cfRule type="expression" dxfId="7" priority="8">
      <formula>D$12="—"</formula>
    </cfRule>
  </conditionalFormatting>
  <conditionalFormatting sqref="E15:E15">
    <cfRule type="expression" dxfId="8" priority="9">
      <formula>E$12="—"</formula>
    </cfRule>
  </conditionalFormatting>
  <conditionalFormatting sqref="F15:F15">
    <cfRule type="expression" dxfId="9" priority="10">
      <formula>F$12="—"</formula>
    </cfRule>
  </conditionalFormatting>
  <conditionalFormatting sqref="G15:G15">
    <cfRule type="expression" dxfId="10" priority="11">
      <formula>G$12="—"</formula>
    </cfRule>
  </conditionalFormatting>
  <conditionalFormatting sqref="C16:C16">
    <cfRule type="expression" dxfId="11" priority="12">
      <formula>C$12="—"</formula>
    </cfRule>
  </conditionalFormatting>
  <conditionalFormatting sqref="D16:D16">
    <cfRule type="expression" dxfId="12" priority="13">
      <formula>D$12="—"</formula>
    </cfRule>
  </conditionalFormatting>
  <conditionalFormatting sqref="E16:E16">
    <cfRule type="expression" dxfId="13" priority="14">
      <formula>E$12="—"</formula>
    </cfRule>
  </conditionalFormatting>
  <conditionalFormatting sqref="F16:F16">
    <cfRule type="expression" dxfId="14" priority="15">
      <formula>F$12="—"</formula>
    </cfRule>
  </conditionalFormatting>
  <conditionalFormatting sqref="G16:G16">
    <cfRule type="expression" dxfId="15" priority="16">
      <formula>G$12="—"</formula>
    </cfRule>
  </conditionalFormatting>
  <conditionalFormatting sqref="C17:C17">
    <cfRule type="expression" dxfId="16" priority="17">
      <formula>C$12="—"</formula>
    </cfRule>
  </conditionalFormatting>
  <conditionalFormatting sqref="D17:D17">
    <cfRule type="expression" dxfId="17" priority="18">
      <formula>D$12="—"</formula>
    </cfRule>
  </conditionalFormatting>
  <conditionalFormatting sqref="E17:E17">
    <cfRule type="expression" dxfId="18" priority="19">
      <formula>E$12="—"</formula>
    </cfRule>
  </conditionalFormatting>
  <conditionalFormatting sqref="F17:F17">
    <cfRule type="expression" dxfId="19" priority="20">
      <formula>F$12="—"</formula>
    </cfRule>
  </conditionalFormatting>
  <conditionalFormatting sqref="G17:G17">
    <cfRule type="expression" dxfId="20" priority="21">
      <formula>G$12="—"</formula>
    </cfRule>
  </conditionalFormatting>
  <conditionalFormatting sqref="C18:C18">
    <cfRule type="expression" dxfId="21" priority="22">
      <formula>C$12="—"</formula>
    </cfRule>
  </conditionalFormatting>
  <conditionalFormatting sqref="D18:D18">
    <cfRule type="expression" dxfId="22" priority="23">
      <formula>D$12="—"</formula>
    </cfRule>
  </conditionalFormatting>
  <conditionalFormatting sqref="E18:E18">
    <cfRule type="expression" dxfId="23" priority="24">
      <formula>E$12="—"</formula>
    </cfRule>
  </conditionalFormatting>
  <conditionalFormatting sqref="F18:F18">
    <cfRule type="expression" dxfId="24" priority="25">
      <formula>F$12="—"</formula>
    </cfRule>
  </conditionalFormatting>
  <conditionalFormatting sqref="G18:G18">
    <cfRule type="expression" dxfId="25" priority="26">
      <formula>G$12="—"</formula>
    </cfRule>
  </conditionalFormatting>
  <conditionalFormatting sqref="C19:C19">
    <cfRule type="expression" dxfId="26" priority="27">
      <formula>C$12="—"</formula>
    </cfRule>
  </conditionalFormatting>
  <conditionalFormatting sqref="D19:D19">
    <cfRule type="expression" dxfId="27" priority="28">
      <formula>D$12="—"</formula>
    </cfRule>
  </conditionalFormatting>
  <conditionalFormatting sqref="E19:E19">
    <cfRule type="expression" dxfId="28" priority="29">
      <formula>E$12="—"</formula>
    </cfRule>
  </conditionalFormatting>
  <conditionalFormatting sqref="F19:F19">
    <cfRule type="expression" dxfId="29" priority="30">
      <formula>F$12="—"</formula>
    </cfRule>
  </conditionalFormatting>
  <conditionalFormatting sqref="G19:G19">
    <cfRule type="expression" dxfId="30" priority="31">
      <formula>G$12="—"</formula>
    </cfRule>
  </conditionalFormatting>
  <conditionalFormatting sqref="C20:C20">
    <cfRule type="expression" dxfId="31" priority="32">
      <formula>C$12="—"</formula>
    </cfRule>
  </conditionalFormatting>
  <conditionalFormatting sqref="D20:D20">
    <cfRule type="expression" dxfId="32" priority="33">
      <formula>D$12="—"</formula>
    </cfRule>
  </conditionalFormatting>
  <conditionalFormatting sqref="E20:E20">
    <cfRule type="expression" dxfId="33" priority="34">
      <formula>E$12="—"</formula>
    </cfRule>
  </conditionalFormatting>
  <conditionalFormatting sqref="F20:F20">
    <cfRule type="expression" dxfId="34" priority="35">
      <formula>F$12="—"</formula>
    </cfRule>
  </conditionalFormatting>
  <conditionalFormatting sqref="G20:G20">
    <cfRule type="expression" dxfId="35" priority="36">
      <formula>G$12="—"</formula>
    </cfRule>
  </conditionalFormatting>
  <conditionalFormatting sqref="C21:C21">
    <cfRule type="expression" dxfId="36" priority="37">
      <formula>C$12="—"</formula>
    </cfRule>
  </conditionalFormatting>
  <conditionalFormatting sqref="D21:D21">
    <cfRule type="expression" dxfId="37" priority="38">
      <formula>D$12="—"</formula>
    </cfRule>
  </conditionalFormatting>
  <conditionalFormatting sqref="E21:E21">
    <cfRule type="expression" dxfId="38" priority="39">
      <formula>E$12="—"</formula>
    </cfRule>
  </conditionalFormatting>
  <conditionalFormatting sqref="F21:F21">
    <cfRule type="expression" dxfId="39" priority="40">
      <formula>F$12="—"</formula>
    </cfRule>
  </conditionalFormatting>
  <conditionalFormatting sqref="G21:G21">
    <cfRule type="expression" dxfId="40" priority="41">
      <formula>G$12="—"</formula>
    </cfRule>
  </conditionalFormatting>
  <conditionalFormatting sqref="C22:C22">
    <cfRule type="expression" dxfId="41" priority="42">
      <formula>C$12="—"</formula>
    </cfRule>
  </conditionalFormatting>
  <conditionalFormatting sqref="D22:D22">
    <cfRule type="expression" dxfId="42" priority="43">
      <formula>D$12="—"</formula>
    </cfRule>
  </conditionalFormatting>
  <conditionalFormatting sqref="E22:E22">
    <cfRule type="expression" dxfId="43" priority="44">
      <formula>E$12="—"</formula>
    </cfRule>
  </conditionalFormatting>
  <conditionalFormatting sqref="F22:F22">
    <cfRule type="expression" dxfId="44" priority="45">
      <formula>F$12="—"</formula>
    </cfRule>
  </conditionalFormatting>
  <conditionalFormatting sqref="G22:G22">
    <cfRule type="expression" dxfId="45" priority="46">
      <formula>G$12="—"</formula>
    </cfRule>
  </conditionalFormatting>
  <conditionalFormatting sqref="C23:C23">
    <cfRule type="expression" dxfId="46" priority="47">
      <formula>C$12="—"</formula>
    </cfRule>
  </conditionalFormatting>
  <conditionalFormatting sqref="D23:D23">
    <cfRule type="expression" dxfId="47" priority="48">
      <formula>D$12="—"</formula>
    </cfRule>
  </conditionalFormatting>
  <conditionalFormatting sqref="E23:E23">
    <cfRule type="expression" dxfId="48" priority="49">
      <formula>E$12="—"</formula>
    </cfRule>
  </conditionalFormatting>
  <conditionalFormatting sqref="F23:F23">
    <cfRule type="expression" dxfId="49" priority="50">
      <formula>F$12="—"</formula>
    </cfRule>
  </conditionalFormatting>
  <conditionalFormatting sqref="G23:G23">
    <cfRule type="expression" dxfId="50" priority="51">
      <formula>G$12="—"</formula>
    </cfRule>
  </conditionalFormatting>
  <conditionalFormatting sqref="C24:C24">
    <cfRule type="expression" dxfId="51" priority="52">
      <formula>C$12="—"</formula>
    </cfRule>
  </conditionalFormatting>
  <conditionalFormatting sqref="D24:D24">
    <cfRule type="expression" dxfId="52" priority="53">
      <formula>D$12="—"</formula>
    </cfRule>
  </conditionalFormatting>
  <conditionalFormatting sqref="E24:E24">
    <cfRule type="expression" dxfId="53" priority="54">
      <formula>E$12="—"</formula>
    </cfRule>
  </conditionalFormatting>
  <conditionalFormatting sqref="F24:F24">
    <cfRule type="expression" dxfId="54" priority="55">
      <formula>F$12="—"</formula>
    </cfRule>
  </conditionalFormatting>
  <conditionalFormatting sqref="G24:G24">
    <cfRule type="expression" dxfId="55" priority="56">
      <formula>G$12="—"</formula>
    </cfRule>
  </conditionalFormatting>
  <conditionalFormatting sqref="C25:C25">
    <cfRule type="expression" dxfId="56" priority="57">
      <formula>C$12="—"</formula>
    </cfRule>
  </conditionalFormatting>
  <conditionalFormatting sqref="D25:D25">
    <cfRule type="expression" dxfId="57" priority="58">
      <formula>D$12="—"</formula>
    </cfRule>
  </conditionalFormatting>
  <conditionalFormatting sqref="E25:E25">
    <cfRule type="expression" dxfId="58" priority="59">
      <formula>E$12="—"</formula>
    </cfRule>
  </conditionalFormatting>
  <conditionalFormatting sqref="F25:F25">
    <cfRule type="expression" dxfId="59" priority="60">
      <formula>F$12="—"</formula>
    </cfRule>
  </conditionalFormatting>
  <conditionalFormatting sqref="G25:G25">
    <cfRule type="expression" dxfId="60" priority="61">
      <formula>G$12="—"</formula>
    </cfRule>
  </conditionalFormatting>
  <conditionalFormatting sqref="C26:C26">
    <cfRule type="expression" dxfId="61" priority="62">
      <formula>C$12="—"</formula>
    </cfRule>
  </conditionalFormatting>
  <conditionalFormatting sqref="D26:D26">
    <cfRule type="expression" dxfId="62" priority="63">
      <formula>D$12="—"</formula>
    </cfRule>
  </conditionalFormatting>
  <conditionalFormatting sqref="E26:E26">
    <cfRule type="expression" dxfId="63" priority="64">
      <formula>E$12="—"</formula>
    </cfRule>
  </conditionalFormatting>
  <conditionalFormatting sqref="F26:F26">
    <cfRule type="expression" dxfId="64" priority="65">
      <formula>F$12="—"</formula>
    </cfRule>
  </conditionalFormatting>
  <conditionalFormatting sqref="G26:G26">
    <cfRule type="expression" dxfId="65" priority="66">
      <formula>G$12="—"</formula>
    </cfRule>
  </conditionalFormatting>
  <dataValidations count="82">
    <dataValidation type="decimal" operator="between" sqref="C14">
      <formula1>0</formula1>
      <formula2>Settings!$B$11</formula2>
    </dataValidation>
    <dataValidation type="decimal" operator="between" sqref="D14">
      <formula1>0</formula1>
      <formula2>Settings!$B$12</formula2>
    </dataValidation>
    <dataValidation type="decimal" operator="between" sqref="E14">
      <formula1>0</formula1>
      <formula2>Settings!$B$13</formula2>
    </dataValidation>
    <dataValidation type="decimal" operator="between" sqref="F14">
      <formula1>0</formula1>
      <formula2>Settings!$B$14</formula2>
    </dataValidation>
    <dataValidation type="decimal" operator="between" sqref="G14">
      <formula1>0</formula1>
      <formula2>Settings!$B$15</formula2>
    </dataValidation>
    <dataValidation type="decimal" operator="between" sqref="C15">
      <formula1>0</formula1>
      <formula2>Settings!$B$11</formula2>
    </dataValidation>
    <dataValidation type="decimal" operator="between" sqref="D15">
      <formula1>0</formula1>
      <formula2>Settings!$B$12</formula2>
    </dataValidation>
    <dataValidation type="decimal" operator="between" sqref="E15">
      <formula1>0</formula1>
      <formula2>Settings!$B$13</formula2>
    </dataValidation>
    <dataValidation type="decimal" operator="between" sqref="F15">
      <formula1>0</formula1>
      <formula2>Settings!$B$14</formula2>
    </dataValidation>
    <dataValidation type="decimal" operator="between" sqref="G15">
      <formula1>0</formula1>
      <formula2>Settings!$B$15</formula2>
    </dataValidation>
    <dataValidation type="decimal" operator="between" sqref="C16">
      <formula1>0</formula1>
      <formula2>Settings!$B$11</formula2>
    </dataValidation>
    <dataValidation type="decimal" operator="between" sqref="D16">
      <formula1>0</formula1>
      <formula2>Settings!$B$12</formula2>
    </dataValidation>
    <dataValidation type="decimal" operator="between" sqref="E16">
      <formula1>0</formula1>
      <formula2>Settings!$B$13</formula2>
    </dataValidation>
    <dataValidation type="decimal" operator="between" sqref="F16">
      <formula1>0</formula1>
      <formula2>Settings!$B$14</formula2>
    </dataValidation>
    <dataValidation type="decimal" operator="between" sqref="G16">
      <formula1>0</formula1>
      <formula2>Settings!$B$15</formula2>
    </dataValidation>
    <dataValidation type="decimal" operator="between" sqref="C17">
      <formula1>0</formula1>
      <formula2>Settings!$B$11</formula2>
    </dataValidation>
    <dataValidation type="decimal" operator="between" sqref="D17">
      <formula1>0</formula1>
      <formula2>Settings!$B$12</formula2>
    </dataValidation>
    <dataValidation type="decimal" operator="between" sqref="E17">
      <formula1>0</formula1>
      <formula2>Settings!$B$13</formula2>
    </dataValidation>
    <dataValidation type="decimal" operator="between" sqref="F17">
      <formula1>0</formula1>
      <formula2>Settings!$B$14</formula2>
    </dataValidation>
    <dataValidation type="decimal" operator="between" sqref="G17">
      <formula1>0</formula1>
      <formula2>Settings!$B$15</formula2>
    </dataValidation>
    <dataValidation type="decimal" operator="between" sqref="C18">
      <formula1>0</formula1>
      <formula2>Settings!$B$11</formula2>
    </dataValidation>
    <dataValidation type="decimal" operator="between" sqref="D18">
      <formula1>0</formula1>
      <formula2>Settings!$B$12</formula2>
    </dataValidation>
    <dataValidation type="decimal" operator="between" sqref="E18">
      <formula1>0</formula1>
      <formula2>Settings!$B$13</formula2>
    </dataValidation>
    <dataValidation type="decimal" operator="between" sqref="F18">
      <formula1>0</formula1>
      <formula2>Settings!$B$14</formula2>
    </dataValidation>
    <dataValidation type="decimal" operator="between" sqref="G18">
      <formula1>0</formula1>
      <formula2>Settings!$B$15</formula2>
    </dataValidation>
    <dataValidation type="decimal" operator="between" sqref="C19">
      <formula1>0</formula1>
      <formula2>Settings!$B$11</formula2>
    </dataValidation>
    <dataValidation type="decimal" operator="between" sqref="D19">
      <formula1>0</formula1>
      <formula2>Settings!$B$12</formula2>
    </dataValidation>
    <dataValidation type="decimal" operator="between" sqref="E19">
      <formula1>0</formula1>
      <formula2>Settings!$B$13</formula2>
    </dataValidation>
    <dataValidation type="decimal" operator="between" sqref="F19">
      <formula1>0</formula1>
      <formula2>Settings!$B$14</formula2>
    </dataValidation>
    <dataValidation type="decimal" operator="between" sqref="G19">
      <formula1>0</formula1>
      <formula2>Settings!$B$15</formula2>
    </dataValidation>
    <dataValidation type="decimal" operator="between" sqref="C20">
      <formula1>0</formula1>
      <formula2>Settings!$B$11</formula2>
    </dataValidation>
    <dataValidation type="decimal" operator="between" sqref="D20">
      <formula1>0</formula1>
      <formula2>Settings!$B$12</formula2>
    </dataValidation>
    <dataValidation type="decimal" operator="between" sqref="E20">
      <formula1>0</formula1>
      <formula2>Settings!$B$13</formula2>
    </dataValidation>
    <dataValidation type="decimal" operator="between" sqref="F20">
      <formula1>0</formula1>
      <formula2>Settings!$B$14</formula2>
    </dataValidation>
    <dataValidation type="decimal" operator="between" sqref="G20">
      <formula1>0</formula1>
      <formula2>Settings!$B$15</formula2>
    </dataValidation>
    <dataValidation type="decimal" operator="between" sqref="C21">
      <formula1>0</formula1>
      <formula2>Settings!$B$11</formula2>
    </dataValidation>
    <dataValidation type="decimal" operator="between" sqref="D21">
      <formula1>0</formula1>
      <formula2>Settings!$B$12</formula2>
    </dataValidation>
    <dataValidation type="decimal" operator="between" sqref="E21">
      <formula1>0</formula1>
      <formula2>Settings!$B$13</formula2>
    </dataValidation>
    <dataValidation type="decimal" operator="between" sqref="F21">
      <formula1>0</formula1>
      <formula2>Settings!$B$14</formula2>
    </dataValidation>
    <dataValidation type="decimal" operator="between" sqref="G21">
      <formula1>0</formula1>
      <formula2>Settings!$B$15</formula2>
    </dataValidation>
    <dataValidation type="decimal" operator="between" sqref="C22">
      <formula1>0</formula1>
      <formula2>Settings!$B$11</formula2>
    </dataValidation>
    <dataValidation type="decimal" operator="between" sqref="D22">
      <formula1>0</formula1>
      <formula2>Settings!$B$12</formula2>
    </dataValidation>
    <dataValidation type="decimal" operator="between" sqref="E22">
      <formula1>0</formula1>
      <formula2>Settings!$B$13</formula2>
    </dataValidation>
    <dataValidation type="decimal" operator="between" sqref="F22">
      <formula1>0</formula1>
      <formula2>Settings!$B$14</formula2>
    </dataValidation>
    <dataValidation type="decimal" operator="between" sqref="G22">
      <formula1>0</formula1>
      <formula2>Settings!$B$15</formula2>
    </dataValidation>
    <dataValidation type="decimal" operator="between" sqref="C23">
      <formula1>0</formula1>
      <formula2>Settings!$B$11</formula2>
    </dataValidation>
    <dataValidation type="decimal" operator="between" sqref="D23">
      <formula1>0</formula1>
      <formula2>Settings!$B$12</formula2>
    </dataValidation>
    <dataValidation type="decimal" operator="between" sqref="E23">
      <formula1>0</formula1>
      <formula2>Settings!$B$13</formula2>
    </dataValidation>
    <dataValidation type="decimal" operator="between" sqref="F23">
      <formula1>0</formula1>
      <formula2>Settings!$B$14</formula2>
    </dataValidation>
    <dataValidation type="decimal" operator="between" sqref="G23">
      <formula1>0</formula1>
      <formula2>Settings!$B$15</formula2>
    </dataValidation>
    <dataValidation type="decimal" operator="between" sqref="C24">
      <formula1>0</formula1>
      <formula2>Settings!$B$11</formula2>
    </dataValidation>
    <dataValidation type="decimal" operator="between" sqref="D24">
      <formula1>0</formula1>
      <formula2>Settings!$B$12</formula2>
    </dataValidation>
    <dataValidation type="decimal" operator="between" sqref="E24">
      <formula1>0</formula1>
      <formula2>Settings!$B$13</formula2>
    </dataValidation>
    <dataValidation type="decimal" operator="between" sqref="F24">
      <formula1>0</formula1>
      <formula2>Settings!$B$14</formula2>
    </dataValidation>
    <dataValidation type="decimal" operator="between" sqref="G24">
      <formula1>0</formula1>
      <formula2>Settings!$B$15</formula2>
    </dataValidation>
    <dataValidation type="decimal" operator="between" sqref="C25">
      <formula1>0</formula1>
      <formula2>Settings!$B$11</formula2>
    </dataValidation>
    <dataValidation type="decimal" operator="between" sqref="D25">
      <formula1>0</formula1>
      <formula2>Settings!$B$12</formula2>
    </dataValidation>
    <dataValidation type="decimal" operator="between" sqref="E25">
      <formula1>0</formula1>
      <formula2>Settings!$B$13</formula2>
    </dataValidation>
    <dataValidation type="decimal" operator="between" sqref="F25">
      <formula1>0</formula1>
      <formula2>Settings!$B$14</formula2>
    </dataValidation>
    <dataValidation type="decimal" operator="between" sqref="G25">
      <formula1>0</formula1>
      <formula2>Settings!$B$15</formula2>
    </dataValidation>
    <dataValidation type="decimal" operator="between" sqref="C26">
      <formula1>0</formula1>
      <formula2>Settings!$B$11</formula2>
    </dataValidation>
    <dataValidation type="decimal" operator="between" sqref="D26">
      <formula1>0</formula1>
      <formula2>Settings!$B$12</formula2>
    </dataValidation>
    <dataValidation type="decimal" operator="between" sqref="E26">
      <formula1>0</formula1>
      <formula2>Settings!$B$13</formula2>
    </dataValidation>
    <dataValidation type="decimal" operator="between" sqref="F26">
      <formula1>0</formula1>
      <formula2>Settings!$B$14</formula2>
    </dataValidation>
    <dataValidation type="decimal" operator="between" sqref="G26">
      <formula1>0</formula1>
      <formula2>Settings!$B$15</formula2>
    </dataValidation>
    <dataValidation type="list" sqref="G39">
      <formula1>"1,2,3,4,5"</formula1>
    </dataValidation>
    <dataValidation type="list" sqref="O39">
      <formula1>"1,2,3,4,5"</formula1>
    </dataValidation>
    <dataValidation type="list" sqref="I29">
      <formula1>"Not yet decided,Promoted,Not promoted,Review required,Not applicable"</formula1>
    </dataValidation>
    <dataValidation type="list" sqref="G34">
      <formula1>"1,2,3,4,5"</formula1>
    </dataValidation>
    <dataValidation type="list" sqref="O34">
      <formula1>"1,2,3,4,5"</formula1>
    </dataValidation>
    <dataValidation type="list" sqref="G35">
      <formula1>"1,2,3,4,5"</formula1>
    </dataValidation>
    <dataValidation type="list" sqref="O35">
      <formula1>"1,2,3,4,5"</formula1>
    </dataValidation>
    <dataValidation type="list" sqref="G36">
      <formula1>"1,2,3,4,5"</formula1>
    </dataValidation>
    <dataValidation type="list" sqref="O36">
      <formula1>"1,2,3,4,5"</formula1>
    </dataValidation>
    <dataValidation type="list" sqref="G37">
      <formula1>"1,2,3,4,5"</formula1>
    </dataValidation>
    <dataValidation type="list" sqref="O37">
      <formula1>"1,2,3,4,5"</formula1>
    </dataValidation>
    <dataValidation type="list" sqref="G38">
      <formula1>"1,2,3,4,5"</formula1>
    </dataValidation>
    <dataValidation type="list" sqref="O38">
      <formula1>"1,2,3,4,5"</formula1>
    </dataValidation>
    <dataValidation type="list" sqref="G40">
      <formula1>"1,2,3,4,5"</formula1>
    </dataValidation>
    <dataValidation type="list" sqref="O40">
      <formula1>"1,2,3,4,5"</formula1>
    </dataValidation>
    <dataValidation type="list" sqref="G41">
      <formula1>"1,2,3,4,5"</formula1>
    </dataValidation>
    <dataValidation type="list" sqref="O41">
      <formula1>"1,2,3,4,5"</formula1>
    </dataValidation>
  </dataValidations>
  <drawing r:id="R6650874ed1ea4ff9"/>
  <printOptions horizontalCentered="1" headings="0" gridLines="0"/>
  <pageMargins left="0.25" right="0.25" top="0.25" bottom="0.25" header="0.1" footer="0.1"/>
  <pageSetup paperSize="9" orientation="portrait" fitToWidth="1" fitToHeight="1"/>
</worksheet>
</file>

<file path=xl/worksheets/sheet2.xml><?xml version="1.0" encoding="utf-8"?>
<worksheet xmlns="http://schemas.openxmlformats.org/spreadsheetml/2006/main">
  <sheetPr>
    <tabColor rgb="FF007FB5"/>
  </sheetPr>
  <sheetViews>
    <sheetView showGridLines="0" workbookViewId="0"/>
  </sheetViews>
  <sheetFormatPr defaultRowHeight="15"/>
  <cols>
    <col min="1" max="1" width="34" hidden="0" customWidth="1"/>
    <col min="2" max="2" width="44" hidden="0" customWidth="1"/>
    <col min="3" max="3" width="26" hidden="0" customWidth="1"/>
    <col min="4" max="4" width="3" hidden="0" customWidth="1"/>
    <col min="5" max="5" width="38" hidden="0" customWidth="1"/>
    <col min="6" max="6" width="24" hidden="0" customWidth="1"/>
    <col min="7" max="7" width="24" hidden="0" customWidth="1"/>
    <col min="8" max="8" width="24" hidden="0" customWidth="1"/>
    <col min="9" max="9" width="24" hidden="0" customWidth="1"/>
    <col min="10" max="10" width="24" hidden="0" customWidth="1"/>
    <col min="11" max="11" width="24" hidden="0" customWidth="1"/>
    <col min="12" max="12" width="24" hidden="0" customWidth="1"/>
  </cols>
  <sheetData>
    <row r="1" ht="22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2" customHeight="1">
      <c r="A2" s="41" t="str">
        <v>SCHOOL AND ASSESSMENT SETTINGS</v>
      </c>
      <c r="B2" s="41"/>
      <c r="C2" s="41"/>
      <c r="D2" s="2"/>
      <c r="E2" s="2"/>
      <c r="F2" s="2"/>
      <c r="G2" s="2"/>
      <c r="H2" s="2"/>
      <c r="I2" s="2"/>
      <c r="J2" s="2"/>
      <c r="K2" s="2"/>
      <c r="L2" s="2"/>
    </row>
    <row r="3" ht="22" customHeight="1">
      <c r="A3" s="2" t="str">
        <v>School name</v>
      </c>
      <c r="B3" s="38" t="str">
        <v>IHLink Academy</v>
      </c>
      <c r="C3" s="2"/>
      <c r="D3" s="2"/>
      <c r="E3" s="41" t="str">
        <v>CURRICULUM AND REPORTING NOTES</v>
      </c>
      <c r="F3" s="41"/>
      <c r="G3" s="41"/>
      <c r="H3" s="41"/>
      <c r="I3" s="41"/>
      <c r="J3" s="41"/>
      <c r="K3" s="41"/>
      <c r="L3" s="2"/>
    </row>
    <row r="4" ht="22" customHeight="1">
      <c r="A4" s="2" t="str">
        <v>School address / contact</v>
      </c>
      <c r="B4" s="38" t="str">
        <v>School address and contact details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ht="22" customHeight="1">
      <c r="A5" s="2" t="str">
        <v>Section</v>
      </c>
      <c r="B5" s="38" t="str">
        <v>Primary</v>
      </c>
      <c r="C5" s="2"/>
      <c r="D5" s="2"/>
      <c r="E5" s="61" t="str">
        <v>Reference templates</v>
      </c>
      <c r="F5" s="61"/>
      <c r="G5" s="61" t="str">
        <v>Nursery and Primary report sheets supplied by Isah Hassan. Originals unchanged.</v>
      </c>
      <c r="H5" s="61"/>
      <c r="I5" s="61"/>
      <c r="J5" s="61"/>
      <c r="K5" s="61"/>
      <c r="L5" s="61"/>
    </row>
    <row r="6" ht="22" customHeight="1">
      <c r="A6" s="2" t="str">
        <v>Class / group</v>
      </c>
      <c r="B6" s="64" t="str">
        <f>IF(Result!L7="","",Result!L7)</f>
      </c>
      <c r="C6" s="2"/>
      <c r="D6" s="2"/>
      <c r="E6" s="61"/>
      <c r="F6" s="61"/>
      <c r="G6" s="61"/>
      <c r="H6" s="61"/>
      <c r="I6" s="61"/>
      <c r="J6" s="61"/>
      <c r="K6" s="61"/>
      <c r="L6" s="61"/>
    </row>
    <row r="7" ht="22" customHeight="1">
      <c r="A7" s="2" t="str">
        <v>Stream</v>
      </c>
      <c r="B7" s="38" t="str">
        <v>General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ht="22" customHeight="1">
      <c r="A8" s="2" t="str">
        <v>Term</v>
      </c>
      <c r="B8" s="38" t="str">
        <v>First Term</v>
      </c>
      <c r="C8" s="2"/>
      <c r="D8" s="2"/>
      <c r="E8" s="61" t="str">
        <v>Curriculum source</v>
      </c>
      <c r="F8" s="61"/>
      <c r="G8" s="61" t="str">
        <v>NERDC subject offerings, September 2025. https://nerdc.gov.ng/content_manager/pdf_files/Press%20Release%20On%20New%20FG%20Curriculum.pdf</v>
      </c>
      <c r="H8" s="61"/>
      <c r="I8" s="61"/>
      <c r="J8" s="61"/>
      <c r="K8" s="61"/>
      <c r="L8" s="61"/>
    </row>
    <row r="9" ht="22" customHeight="1">
      <c r="A9" s="2" t="str">
        <v>Academic session</v>
      </c>
      <c r="B9" s="38" t="str">
        <v>2026/2027</v>
      </c>
      <c r="C9" s="2"/>
      <c r="D9" s="2"/>
      <c r="E9" s="61"/>
      <c r="F9" s="61"/>
      <c r="G9" s="61"/>
      <c r="H9" s="61"/>
      <c r="I9" s="61"/>
      <c r="J9" s="61"/>
      <c r="K9" s="61"/>
      <c r="L9" s="61"/>
    </row>
    <row r="10" ht="22" customHeight="1">
      <c r="A10" s="2" t="str">
        <v>Subject grade basis</v>
      </c>
      <c r="B10" s="38" t="str">
        <v>Cumulative</v>
      </c>
      <c r="C10" s="2"/>
      <c r="D10" s="2"/>
      <c r="E10" s="2"/>
      <c r="F10" s="2"/>
      <c r="G10" s="2"/>
      <c r="H10" s="2"/>
      <c r="I10" s="2"/>
      <c r="J10" s="2"/>
      <c r="K10" s="2"/>
      <c r="L10" s="2"/>
    </row>
    <row r="11" ht="22" customHeight="1">
      <c r="A11" s="2" t="str">
        <v>CA 1 maximum</v>
      </c>
      <c r="B11" s="38" t="n">
        <f>IF(B17="Custom",E70,INDEX($F$59:$J$62,MATCH($B$17,$E$59:$E$62,0),1))</f>
        <v>10</v>
      </c>
      <c r="C11" s="2" t="str">
        <f>IF(B17="Custom",C70,INDEX($K$59:$O$62,MATCH($B$17,$E$59:$E$62,0),1))</f>
        <v>CA 1</v>
      </c>
      <c r="D11" s="2"/>
      <c r="E11" s="61" t="str">
        <v>Nursery</v>
      </c>
      <c r="F11" s="61"/>
      <c r="G11" s="61" t="str">
        <v>School-defined learning areas; not a compulsory national subject list.</v>
      </c>
      <c r="H11" s="61"/>
      <c r="I11" s="61"/>
      <c r="J11" s="61"/>
      <c r="K11" s="61"/>
      <c r="L11" s="61"/>
    </row>
    <row r="12" ht="22" customHeight="1">
      <c r="A12" s="2" t="str">
        <v>CA 2 maximum</v>
      </c>
      <c r="B12" s="38" t="n">
        <f>IF(B17="Custom",E71,INDEX($F$59:$J$62,MATCH($B$17,$E$59:$E$62,0),2))</f>
        <v>10</v>
      </c>
      <c r="C12" s="2" t="str">
        <f>IF(B17="Custom",C71,INDEX($K$59:$O$62,MATCH($B$17,$E$59:$E$62,0),2))</f>
        <v>CA 2</v>
      </c>
      <c r="D12" s="2"/>
      <c r="E12" s="61"/>
      <c r="F12" s="61"/>
      <c r="G12" s="61"/>
      <c r="H12" s="61"/>
      <c r="I12" s="61"/>
      <c r="J12" s="61"/>
      <c r="K12" s="61"/>
      <c r="L12" s="61"/>
    </row>
    <row r="13" ht="22" customHeight="1">
      <c r="A13" s="2" t="str">
        <v>CA 3 maximum</v>
      </c>
      <c r="B13" s="38" t="n">
        <f>IF(B17="Custom",E72,INDEX($F$59:$J$62,MATCH($B$17,$E$59:$E$62,0),3))</f>
        <v>10</v>
      </c>
      <c r="C13" s="2" t="str">
        <f>IF(B17="Custom",C72,INDEX($K$59:$O$62,MATCH($B$17,$E$59:$E$62,0),3))</f>
        <v>CA 3</v>
      </c>
      <c r="D13" s="2"/>
      <c r="E13" s="2"/>
      <c r="F13" s="2"/>
      <c r="G13" s="2"/>
      <c r="H13" s="2"/>
      <c r="I13" s="2"/>
      <c r="J13" s="2"/>
      <c r="K13" s="2"/>
      <c r="L13" s="2"/>
    </row>
    <row r="14" ht="22" customHeight="1">
      <c r="A14" s="2" t="str">
        <v>CA 4 maximum</v>
      </c>
      <c r="B14" s="38" t="n">
        <f>IF(B17="Custom",E73,INDEX($F$59:$J$62,MATCH($B$17,$E$59:$E$62,0),4))</f>
        <v>10</v>
      </c>
      <c r="C14" s="2" t="str">
        <f>IF(B17="Custom",C73,INDEX($K$59:$O$62,MATCH($B$17,$E$59:$E$62,0),4))</f>
        <v>CA 4</v>
      </c>
      <c r="D14" s="2"/>
      <c r="E14" s="61" t="str">
        <v>Primary 1–3</v>
      </c>
      <c r="F14" s="61"/>
      <c r="G14" s="61" t="str">
        <v>9–10 subjects. Select English, Mathematics, one Nigerian language, Basic Science, PHE, one religion, History, Social/Citizenship, CCA; Arabic optional.</v>
      </c>
      <c r="H14" s="61"/>
      <c r="I14" s="61"/>
      <c r="J14" s="61"/>
      <c r="K14" s="61"/>
      <c r="L14" s="61"/>
    </row>
    <row r="15" ht="22" customHeight="1">
      <c r="A15" s="2" t="str">
        <v>Examination maximum</v>
      </c>
      <c r="B15" s="38" t="n">
        <f>IF(B17="Custom",E74,INDEX($F$59:$J$62,MATCH($B$17,$E$59:$E$62,0),5))</f>
        <v>60</v>
      </c>
      <c r="C15" s="2" t="str">
        <f>IF(B17="Custom",C74,INDEX($K$59:$O$62,MATCH($B$17,$E$59:$E$62,0),5))</f>
        <v>Exam</v>
      </c>
      <c r="D15" s="2"/>
      <c r="E15" s="61"/>
      <c r="F15" s="61"/>
      <c r="G15" s="61"/>
      <c r="H15" s="61"/>
      <c r="I15" s="61"/>
      <c r="J15" s="61"/>
      <c r="K15" s="61"/>
      <c r="L15" s="61"/>
    </row>
    <row r="16" ht="22" customHeight="1">
      <c r="A16" s="2" t="str">
        <v>Total assessment marks</v>
      </c>
      <c r="B16" s="2" t="n">
        <f>SUM(B11:B15)</f>
        <v>100</v>
      </c>
      <c r="C16" s="2"/>
      <c r="D16" s="2"/>
      <c r="E16" s="2"/>
      <c r="F16" s="2"/>
      <c r="G16" s="2"/>
      <c r="H16" s="2"/>
      <c r="I16" s="2"/>
      <c r="J16" s="2"/>
      <c r="K16" s="2"/>
      <c r="L16" s="2"/>
    </row>
    <row r="17" ht="22" customHeight="1">
      <c r="A17" s="2" t="str">
        <v>Assessment scheme</v>
      </c>
      <c r="B17" s="105" t="str">
        <v>Four CA 10-10-10-10</v>
      </c>
      <c r="C17" s="2"/>
      <c r="D17" s="2"/>
      <c r="E17" s="61" t="str">
        <v>Primary 4–6</v>
      </c>
      <c r="F17" s="61"/>
      <c r="G17" s="61" t="str">
        <v>11–13 subjects. The default upper-primary example adds Agriculture, Digital Technologies, French and Business Studies to the nine common subjects.</v>
      </c>
      <c r="H17" s="61"/>
      <c r="I17" s="61"/>
      <c r="J17" s="61"/>
      <c r="K17" s="61"/>
      <c r="L17" s="61"/>
    </row>
    <row r="18" ht="28" customHeight="1">
      <c r="A18" s="61" t="str">
        <v>How to use assessment weights</v>
      </c>
      <c r="B18" s="61" t="str">
        <v>Choose a scheme in B17. Custom: edit C70:C74 labels and E70:E74 maxima. Five slots include the exam; maxima must total 100. Inactive inputs stay blank.</v>
      </c>
      <c r="C18" s="61"/>
      <c r="D18" s="2"/>
      <c r="E18" s="61"/>
      <c r="F18" s="61"/>
      <c r="G18" s="61"/>
      <c r="H18" s="61"/>
      <c r="I18" s="61"/>
      <c r="J18" s="61"/>
      <c r="K18" s="61"/>
      <c r="L18" s="61"/>
    </row>
    <row r="19" ht="28" customHeight="1">
      <c r="A19" s="61"/>
      <c r="B19" s="61"/>
      <c r="C19" s="61"/>
      <c r="D19" s="2"/>
      <c r="E19" s="2"/>
      <c r="F19" s="2"/>
      <c r="G19" s="2"/>
      <c r="H19" s="2"/>
      <c r="I19" s="2"/>
      <c r="J19" s="2"/>
      <c r="K19" s="2"/>
      <c r="L19" s="2"/>
    </row>
    <row r="20" ht="28" customHeight="1">
      <c r="A20" s="61"/>
      <c r="B20" s="61"/>
      <c r="C20" s="61"/>
      <c r="D20" s="2"/>
      <c r="E20" s="61" t="str">
        <v>Junior Secondary</v>
      </c>
      <c r="F20" s="61"/>
      <c r="G20" s="61" t="str">
        <v>12–14 subjects. Select one trade and suitable optional subjects. Choose one religion and one Nigerian language.</v>
      </c>
      <c r="H20" s="61"/>
      <c r="I20" s="61"/>
      <c r="J20" s="61"/>
      <c r="K20" s="61"/>
      <c r="L20" s="61"/>
    </row>
    <row r="21" ht="22" customHeight="1">
      <c r="A21" s="2"/>
      <c r="B21" s="2"/>
      <c r="C21" s="2"/>
      <c r="D21" s="2"/>
      <c r="E21" s="61"/>
      <c r="F21" s="61"/>
      <c r="G21" s="61"/>
      <c r="H21" s="61"/>
      <c r="I21" s="61"/>
      <c r="J21" s="61"/>
      <c r="K21" s="61"/>
      <c r="L21" s="61"/>
    </row>
    <row r="22" ht="22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ht="22" customHeight="1">
      <c r="A23" s="41" t="str">
        <v>EDITABLE SCHOOL GRADE SCALE</v>
      </c>
      <c r="B23" s="41"/>
      <c r="C23" s="41"/>
      <c r="D23" s="2"/>
      <c r="E23" s="61" t="str">
        <v>Senior Secondary</v>
      </c>
      <c r="F23" s="61"/>
      <c r="G23" s="61" t="str">
        <v>8–9 subjects. The sample is a science combination; change electives to suit the school and learner.</v>
      </c>
      <c r="H23" s="61"/>
      <c r="I23" s="61"/>
      <c r="J23" s="61"/>
      <c r="K23" s="61"/>
      <c r="L23" s="61"/>
    </row>
    <row r="24" ht="22" customHeight="1">
      <c r="A24" s="2" t="str">
        <v>Minimum score</v>
      </c>
      <c r="B24" s="2" t="str">
        <v>Grade</v>
      </c>
      <c r="C24" s="2" t="str">
        <v>Remark</v>
      </c>
      <c r="D24" s="2"/>
      <c r="E24" s="61"/>
      <c r="F24" s="61"/>
      <c r="G24" s="61"/>
      <c r="H24" s="61"/>
      <c r="I24" s="61"/>
      <c r="J24" s="61"/>
      <c r="K24" s="61"/>
      <c r="L24" s="61"/>
    </row>
    <row r="25" ht="22" customHeight="1">
      <c r="A25" s="38" t="n">
        <v>0</v>
      </c>
      <c r="B25" s="38" t="str">
        <v>F</v>
      </c>
      <c r="C25" s="38" t="str">
        <v>Needs support</v>
      </c>
      <c r="D25" s="2"/>
      <c r="E25" s="2"/>
      <c r="F25" s="2"/>
      <c r="G25" s="2"/>
      <c r="H25" s="2"/>
      <c r="I25" s="2"/>
      <c r="J25" s="2"/>
      <c r="K25" s="2"/>
      <c r="L25" s="2"/>
    </row>
    <row r="26" ht="22" customHeight="1">
      <c r="A26" s="38" t="n">
        <v>40</v>
      </c>
      <c r="B26" s="38" t="str">
        <v>E</v>
      </c>
      <c r="C26" s="38" t="str">
        <v>Developing</v>
      </c>
      <c r="D26" s="2"/>
      <c r="E26" s="61" t="str">
        <v>Religion / language</v>
      </c>
      <c r="F26" s="61"/>
      <c r="G26" s="61" t="str">
        <v>Replace Religious Studies and Nigerian Language with the specific subjects actually offered.</v>
      </c>
      <c r="H26" s="61"/>
      <c r="I26" s="61"/>
      <c r="J26" s="61"/>
      <c r="K26" s="61"/>
      <c r="L26" s="61"/>
    </row>
    <row r="27" ht="22" customHeight="1">
      <c r="A27" s="38" t="n">
        <v>45</v>
      </c>
      <c r="B27" s="38" t="str">
        <v>D</v>
      </c>
      <c r="C27" s="38" t="str">
        <v>Fair</v>
      </c>
      <c r="D27" s="2"/>
      <c r="E27" s="61"/>
      <c r="F27" s="61"/>
      <c r="G27" s="61"/>
      <c r="H27" s="61"/>
      <c r="I27" s="61"/>
      <c r="J27" s="61"/>
      <c r="K27" s="61"/>
      <c r="L27" s="61"/>
    </row>
    <row r="28" ht="22" customHeight="1">
      <c r="A28" s="38" t="n">
        <v>55</v>
      </c>
      <c r="B28" s="38" t="str">
        <v>C</v>
      </c>
      <c r="C28" s="38" t="str">
        <v>Satisfactory</v>
      </c>
      <c r="D28" s="2"/>
      <c r="E28" s="2"/>
      <c r="F28" s="2"/>
      <c r="G28" s="2"/>
      <c r="H28" s="2"/>
      <c r="I28" s="2"/>
      <c r="J28" s="2"/>
      <c r="K28" s="2"/>
      <c r="L28" s="2"/>
    </row>
    <row r="29" ht="22" customHeight="1">
      <c r="A29" s="38" t="n">
        <v>65</v>
      </c>
      <c r="B29" s="38" t="str">
        <v>B</v>
      </c>
      <c r="C29" s="38" t="str">
        <v>Good</v>
      </c>
      <c r="D29" s="2"/>
      <c r="E29" s="61" t="str">
        <v>Positions</v>
      </c>
      <c r="F29" s="61"/>
      <c r="G29" s="61" t="str">
        <v>Competition ranking: equal scores share a position, and the next position is skipped. Ranks remain blank without a complete class dataset or SchoolPro-supplied ranks.</v>
      </c>
      <c r="H29" s="61"/>
      <c r="I29" s="61"/>
      <c r="J29" s="61"/>
      <c r="K29" s="61"/>
      <c r="L29" s="61"/>
    </row>
    <row r="30" ht="22" customHeight="1">
      <c r="A30" s="38" t="n">
        <v>75</v>
      </c>
      <c r="B30" s="38" t="str">
        <v>A</v>
      </c>
      <c r="C30" s="38" t="str">
        <v>Excellent</v>
      </c>
      <c r="D30" s="2"/>
      <c r="E30" s="61"/>
      <c r="F30" s="61"/>
      <c r="G30" s="61"/>
      <c r="H30" s="61"/>
      <c r="I30" s="61"/>
      <c r="J30" s="61"/>
      <c r="K30" s="61"/>
      <c r="L30" s="61"/>
    </row>
    <row r="31" ht="22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ht="22" customHeight="1">
      <c r="A32" s="2"/>
      <c r="B32" s="2"/>
      <c r="C32" s="2"/>
      <c r="D32" s="2"/>
      <c r="E32" s="61" t="str">
        <v>Cumulative score</v>
      </c>
      <c r="F32" s="61"/>
      <c r="G32" s="61" t="str">
        <v>First term = current total; second = mean of first + current; third = mean of first + second + current. Missing earlier-term marks do not become zero.</v>
      </c>
      <c r="H32" s="61"/>
      <c r="I32" s="61"/>
      <c r="J32" s="61"/>
      <c r="K32" s="61"/>
      <c r="L32" s="61"/>
    </row>
    <row r="33" ht="22" customHeight="1">
      <c r="A33" s="2"/>
      <c r="B33" s="2"/>
      <c r="C33" s="2"/>
      <c r="D33" s="2"/>
      <c r="E33" s="61"/>
      <c r="F33" s="61"/>
      <c r="G33" s="61"/>
      <c r="H33" s="61"/>
      <c r="I33" s="61"/>
      <c r="J33" s="61"/>
      <c r="K33" s="61"/>
      <c r="L33" s="61"/>
    </row>
    <row r="34" ht="22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ht="22" customHeight="1">
      <c r="A35" s="2"/>
      <c r="B35" s="2"/>
      <c r="C35" s="2"/>
      <c r="D35" s="2"/>
      <c r="E35" s="61" t="str">
        <v>Progression</v>
      </c>
      <c r="F35" s="61"/>
      <c r="G35" s="61" t="str">
        <v>Promotion is a school decision. Enter it manually; no automatic promotion rule is assumed.</v>
      </c>
      <c r="H35" s="61"/>
      <c r="I35" s="61"/>
      <c r="J35" s="61"/>
      <c r="K35" s="61"/>
      <c r="L35" s="61"/>
    </row>
    <row r="36" ht="22" customHeight="1">
      <c r="A36" s="41" t="str">
        <v>SUBJECT LIST — EDIT NAMES ON THE RESULT SHEET</v>
      </c>
      <c r="B36" s="41"/>
      <c r="C36" s="41"/>
      <c r="D36" s="2"/>
      <c r="E36" s="61"/>
      <c r="F36" s="61"/>
      <c r="G36" s="61"/>
      <c r="H36" s="61"/>
      <c r="I36" s="61"/>
      <c r="J36" s="61"/>
      <c r="K36" s="61"/>
      <c r="L36" s="61"/>
    </row>
    <row r="37" ht="22" customHeight="1">
      <c r="A37" s="2" t="str">
        <v>Slot</v>
      </c>
      <c r="B37" s="2" t="str">
        <v>Subject</v>
      </c>
      <c r="C37" s="2" t="str">
        <v>Section notes</v>
      </c>
      <c r="D37" s="2"/>
      <c r="E37" s="2"/>
      <c r="F37" s="2"/>
      <c r="G37" s="2"/>
      <c r="H37" s="2"/>
      <c r="I37" s="2"/>
      <c r="J37" s="2"/>
      <c r="K37" s="2"/>
      <c r="L37" s="2"/>
    </row>
    <row r="38" ht="34" customHeight="1">
      <c r="A38" s="2" t="n">
        <v>1</v>
      </c>
      <c r="B38" s="61" t="str">
        <f>IF(Result!A14="","",Result!A14)</f>
        <v>English Studies</v>
      </c>
      <c r="C38" s="2" t="str">
        <v>Editable school offering</v>
      </c>
      <c r="D38" s="2"/>
      <c r="E38" s="61" t="str">
        <v>Input colour</v>
      </c>
      <c r="F38" s="61"/>
      <c r="G38" s="61" t="str">
        <v>Amber cells are editable inputs. Formula cells retain the design and calculations.</v>
      </c>
      <c r="H38" s="61"/>
      <c r="I38" s="61"/>
      <c r="J38" s="61"/>
      <c r="K38" s="61"/>
      <c r="L38" s="61"/>
    </row>
    <row r="39" ht="34" customHeight="1">
      <c r="A39" s="2" t="n">
        <v>2</v>
      </c>
      <c r="B39" s="61" t="str">
        <f>IF(Result!A15="","",Result!A15)</f>
        <v>Mathematics</v>
      </c>
      <c r="C39" s="2" t="str">
        <v>Editable school offering</v>
      </c>
      <c r="D39" s="2"/>
      <c r="E39" s="61"/>
      <c r="F39" s="61"/>
      <c r="G39" s="61"/>
      <c r="H39" s="61"/>
      <c r="I39" s="61"/>
      <c r="J39" s="61"/>
      <c r="K39" s="61"/>
      <c r="L39" s="61"/>
    </row>
    <row r="40" ht="34" customHeight="1">
      <c r="A40" s="2" t="n">
        <v>3</v>
      </c>
      <c r="B40" s="61" t="str">
        <f>IF(Result!A16="","",Result!A16)</f>
        <v>Nigerian Language</v>
      </c>
      <c r="C40" s="2" t="str">
        <v>Editable school offering</v>
      </c>
      <c r="D40" s="2"/>
      <c r="E40" s="2"/>
      <c r="F40" s="2"/>
      <c r="G40" s="2"/>
      <c r="H40" s="2"/>
      <c r="I40" s="2"/>
      <c r="J40" s="2"/>
      <c r="K40" s="2"/>
      <c r="L40" s="2"/>
    </row>
    <row r="41" ht="34" customHeight="1">
      <c r="A41" s="2" t="n">
        <v>4</v>
      </c>
      <c r="B41" s="61" t="str">
        <f>IF(Result!A17="","",Result!A17)</f>
        <v>Basic Science</v>
      </c>
      <c r="C41" s="2" t="str">
        <v>Editable school offering</v>
      </c>
      <c r="D41" s="2"/>
      <c r="E41" s="2"/>
      <c r="F41" s="2"/>
      <c r="G41" s="2"/>
      <c r="H41" s="2"/>
      <c r="I41" s="2"/>
      <c r="J41" s="2"/>
      <c r="K41" s="2"/>
      <c r="L41" s="2"/>
    </row>
    <row r="42" ht="34" customHeight="1">
      <c r="A42" s="2" t="n">
        <v>5</v>
      </c>
      <c r="B42" s="61" t="str">
        <f>IF(Result!A18="","",Result!A18)</f>
        <v>Physical and Health Education</v>
      </c>
      <c r="C42" s="2" t="str">
        <v>Editable school offering</v>
      </c>
      <c r="D42" s="2"/>
      <c r="E42" s="2"/>
      <c r="F42" s="2"/>
      <c r="G42" s="2"/>
      <c r="H42" s="2"/>
      <c r="I42" s="2"/>
      <c r="J42" s="2"/>
      <c r="K42" s="2"/>
      <c r="L42" s="2"/>
    </row>
    <row r="43" ht="34" customHeight="1">
      <c r="A43" s="2" t="n">
        <v>6</v>
      </c>
      <c r="B43" s="61" t="str">
        <f>IF(Result!A19="","",Result!A19)</f>
        <v>Religious Studies</v>
      </c>
      <c r="C43" s="2" t="str">
        <v>Editable school offering</v>
      </c>
      <c r="D43" s="2"/>
      <c r="E43" s="2"/>
      <c r="F43" s="2"/>
      <c r="G43" s="2"/>
      <c r="H43" s="2"/>
      <c r="I43" s="2"/>
      <c r="J43" s="2"/>
      <c r="K43" s="2"/>
      <c r="L43" s="2"/>
    </row>
    <row r="44" ht="34" customHeight="1">
      <c r="A44" s="2" t="n">
        <v>7</v>
      </c>
      <c r="B44" s="61" t="str">
        <f>IF(Result!A20="","",Result!A20)</f>
        <v>Nigerian History</v>
      </c>
      <c r="C44" s="2" t="str">
        <v>Editable school offering</v>
      </c>
      <c r="D44" s="2"/>
      <c r="E44" s="2"/>
      <c r="F44" s="2"/>
      <c r="G44" s="2"/>
      <c r="H44" s="2"/>
      <c r="I44" s="2"/>
      <c r="J44" s="2"/>
      <c r="K44" s="2"/>
      <c r="L44" s="2"/>
    </row>
    <row r="45" ht="34" customHeight="1">
      <c r="A45" s="2" t="n">
        <v>8</v>
      </c>
      <c r="B45" s="61" t="str">
        <f>IF(Result!A21="","",Result!A21)</f>
        <v>Social and Citizenship Studies</v>
      </c>
      <c r="C45" s="2" t="str">
        <v>Editable school offering</v>
      </c>
      <c r="D45" s="2"/>
      <c r="E45" s="2"/>
      <c r="F45" s="2"/>
      <c r="G45" s="2"/>
      <c r="H45" s="2"/>
      <c r="I45" s="2"/>
      <c r="J45" s="2"/>
      <c r="K45" s="2"/>
      <c r="L45" s="2"/>
    </row>
    <row r="46" ht="34" customHeight="1">
      <c r="A46" s="2" t="n">
        <v>9</v>
      </c>
      <c r="B46" s="61" t="str">
        <f>IF(Result!A22="","",Result!A22)</f>
        <v>Cultural and Creative Arts</v>
      </c>
      <c r="C46" s="2" t="str">
        <v>Editable school offering</v>
      </c>
      <c r="D46" s="2"/>
      <c r="E46" s="2"/>
      <c r="F46" s="2"/>
      <c r="G46" s="2"/>
      <c r="H46" s="2"/>
      <c r="I46" s="2"/>
      <c r="J46" s="2"/>
      <c r="K46" s="2"/>
      <c r="L46" s="2"/>
    </row>
    <row r="47" ht="34" customHeight="1">
      <c r="A47" s="2" t="n">
        <v>10</v>
      </c>
      <c r="B47" s="61" t="str">
        <f>IF(Result!A23="","",Result!A23)</f>
        <v>Agriculture</v>
      </c>
      <c r="C47" s="2" t="str">
        <v>Editable school offering</v>
      </c>
      <c r="D47" s="2"/>
      <c r="E47" s="2"/>
      <c r="F47" s="2"/>
      <c r="G47" s="2"/>
      <c r="H47" s="2"/>
      <c r="I47" s="2"/>
      <c r="J47" s="2"/>
      <c r="K47" s="2"/>
      <c r="L47" s="2"/>
    </row>
    <row r="48" ht="34" customHeight="1">
      <c r="A48" s="2" t="n">
        <v>11</v>
      </c>
      <c r="B48" s="61" t="str">
        <f>IF(Result!A24="","",Result!A24)</f>
        <v>Digital Technologies</v>
      </c>
      <c r="C48" s="2" t="str">
        <v>Editable school offering</v>
      </c>
      <c r="D48" s="2"/>
      <c r="E48" s="2"/>
      <c r="F48" s="2"/>
      <c r="G48" s="2"/>
      <c r="H48" s="2"/>
      <c r="I48" s="2"/>
      <c r="J48" s="2"/>
      <c r="K48" s="2"/>
      <c r="L48" s="2"/>
    </row>
    <row r="49" ht="34" customHeight="1">
      <c r="A49" s="2" t="n">
        <v>12</v>
      </c>
      <c r="B49" s="61" t="str">
        <f>IF(Result!A25="","",Result!A25)</f>
        <v>French</v>
      </c>
      <c r="C49" s="2" t="str">
        <v>Editable school offering</v>
      </c>
      <c r="D49" s="2"/>
      <c r="E49" s="2"/>
      <c r="F49" s="2"/>
      <c r="G49" s="2"/>
      <c r="H49" s="2"/>
      <c r="I49" s="2"/>
      <c r="J49" s="2"/>
      <c r="K49" s="2"/>
      <c r="L49" s="2"/>
    </row>
    <row r="50" ht="34" customHeight="1">
      <c r="A50" s="2" t="n">
        <v>13</v>
      </c>
      <c r="B50" s="61" t="str">
        <f>IF(Result!A26="","",Result!A26)</f>
        <v>Business Studies</v>
      </c>
      <c r="C50" s="2" t="str">
        <v>Editable school offering</v>
      </c>
      <c r="D50" s="2"/>
      <c r="E50" s="2"/>
      <c r="F50" s="2"/>
      <c r="G50" s="2"/>
      <c r="H50" s="2"/>
      <c r="I50" s="2"/>
      <c r="J50" s="2"/>
      <c r="K50" s="2"/>
      <c r="L50" s="2"/>
    </row>
    <row r="51" ht="22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ht="22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ht="22" customHeight="1">
      <c r="A53" s="2"/>
      <c r="B53" s="2"/>
      <c r="C53" s="2"/>
      <c r="D53" s="2"/>
      <c r="E53" s="61" t="str">
        <v>School term-report defaults, not an official WAEC/NECO result. Keep minimum scores ascending, beginning at 0. Match the grade scale configured in SchoolPro.</v>
      </c>
      <c r="F53" s="61"/>
      <c r="G53" s="61"/>
      <c r="H53" s="61"/>
      <c r="I53" s="61"/>
      <c r="J53" s="61"/>
      <c r="K53" s="61"/>
      <c r="L53" s="2"/>
    </row>
    <row r="54" ht="22" customHeight="1">
      <c r="A54" s="2"/>
      <c r="B54" s="2"/>
      <c r="C54" s="2"/>
      <c r="D54" s="2"/>
      <c r="E54" s="61"/>
      <c r="F54" s="61"/>
      <c r="G54" s="61"/>
      <c r="H54" s="61"/>
      <c r="I54" s="61"/>
      <c r="J54" s="61"/>
      <c r="K54" s="61"/>
      <c r="L54" s="2"/>
    </row>
    <row r="55" ht="22" customHeight="1">
      <c r="A55" s="2"/>
      <c r="B55" s="2"/>
      <c r="C55" s="2"/>
      <c r="D55" s="2"/>
      <c r="E55" s="61"/>
      <c r="F55" s="61"/>
      <c r="G55" s="61"/>
      <c r="H55" s="61"/>
      <c r="I55" s="61"/>
      <c r="J55" s="61"/>
      <c r="K55" s="61"/>
      <c r="L55" s="2"/>
    </row>
    <row r="56" ht="22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ht="22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ht="22" customHeight="1">
      <c r="A58" s="2"/>
      <c r="B58" s="2"/>
      <c r="C58" s="2"/>
      <c r="D58" s="2"/>
      <c r="E58" s="108" t="str">
        <v>Scheme</v>
      </c>
      <c r="F58" s="108" t="str">
        <v>Max 1</v>
      </c>
      <c r="G58" s="108" t="str">
        <v>Max 2</v>
      </c>
      <c r="H58" s="108" t="str">
        <v>Max 3</v>
      </c>
      <c r="I58" s="108" t="str">
        <v>Max 4</v>
      </c>
      <c r="J58" s="108" t="str">
        <v>Exam</v>
      </c>
      <c r="K58" s="108" t="str">
        <v>Label 1</v>
      </c>
      <c r="L58" s="108" t="str">
        <v>Label 2</v>
      </c>
      <c r="M58" s="109" t="str">
        <v>Label 3</v>
      </c>
      <c r="N58" s="109" t="str">
        <v>Label 4</v>
      </c>
      <c r="O58" s="109" t="str">
        <v>Exam label</v>
      </c>
    </row>
    <row r="59" ht="36" customHeight="1">
      <c r="A59" s="2"/>
      <c r="B59" s="2"/>
      <c r="C59" s="2"/>
      <c r="D59" s="2"/>
      <c r="E59" s="61" t="str">
        <v>Four CA 10-10-10-10</v>
      </c>
      <c r="F59" s="61" t="n">
        <v>10</v>
      </c>
      <c r="G59" s="61" t="n">
        <v>10</v>
      </c>
      <c r="H59" s="61" t="n">
        <v>10</v>
      </c>
      <c r="I59" s="61" t="n">
        <v>10</v>
      </c>
      <c r="J59" s="61" t="n">
        <v>60</v>
      </c>
      <c r="K59" s="61" t="str">
        <v>CA 1</v>
      </c>
      <c r="L59" s="61" t="str">
        <v>CA 2</v>
      </c>
      <c r="M59" s="110" t="str">
        <v>CA 3</v>
      </c>
      <c r="N59" s="110" t="str">
        <v>CA 4</v>
      </c>
      <c r="O59" s="110" t="str">
        <v>Exam</v>
      </c>
    </row>
    <row r="60" ht="36" customHeight="1">
      <c r="A60" s="2"/>
      <c r="B60" s="2"/>
      <c r="C60" s="2"/>
      <c r="D60" s="2"/>
      <c r="E60" s="61" t="str">
        <v>Two CA 20-20</v>
      </c>
      <c r="F60" s="61" t="n">
        <v>20</v>
      </c>
      <c r="G60" s="61" t="n">
        <v>20</v>
      </c>
      <c r="H60" s="61" t="n">
        <v>0</v>
      </c>
      <c r="I60" s="61" t="n">
        <v>0</v>
      </c>
      <c r="J60" s="61" t="n">
        <v>60</v>
      </c>
      <c r="K60" s="61" t="str">
        <v>CA 1</v>
      </c>
      <c r="L60" s="61" t="str">
        <v>CA 2</v>
      </c>
      <c r="M60" s="110" t="str"/>
      <c r="N60" s="110" t="str"/>
      <c r="O60" s="110" t="str">
        <v>Exam</v>
      </c>
    </row>
    <row r="61" ht="36" customHeight="1">
      <c r="A61" s="2"/>
      <c r="B61" s="2"/>
      <c r="C61" s="2"/>
      <c r="D61" s="2"/>
      <c r="E61" s="61" t="str">
        <v>Assignments 10-10 Test 20</v>
      </c>
      <c r="F61" s="61" t="n">
        <v>10</v>
      </c>
      <c r="G61" s="61" t="n">
        <v>10</v>
      </c>
      <c r="H61" s="61" t="n">
        <v>20</v>
      </c>
      <c r="I61" s="61" t="n">
        <v>0</v>
      </c>
      <c r="J61" s="61" t="n">
        <v>60</v>
      </c>
      <c r="K61" s="61" t="str">
        <v>Asg 1</v>
      </c>
      <c r="L61" s="61" t="str">
        <v>Asg 2</v>
      </c>
      <c r="M61" s="110" t="str">
        <v>Test</v>
      </c>
      <c r="N61" s="110" t="str"/>
      <c r="O61" s="110" t="str">
        <v>Exam</v>
      </c>
    </row>
    <row r="62" ht="36" customHeight="1">
      <c r="A62" s="2"/>
      <c r="B62" s="2"/>
      <c r="C62" s="2"/>
      <c r="D62" s="2"/>
      <c r="E62" s="61" t="str">
        <v>Assignments 5-5 Test 30</v>
      </c>
      <c r="F62" s="61" t="n">
        <v>5</v>
      </c>
      <c r="G62" s="61" t="n">
        <v>5</v>
      </c>
      <c r="H62" s="61" t="n">
        <v>30</v>
      </c>
      <c r="I62" s="61" t="n">
        <v>0</v>
      </c>
      <c r="J62" s="61" t="n">
        <v>60</v>
      </c>
      <c r="K62" s="61" t="str">
        <v>Asg 1</v>
      </c>
      <c r="L62" s="61" t="str">
        <v>Asg 2</v>
      </c>
      <c r="M62" s="110" t="str">
        <v>Test</v>
      </c>
      <c r="N62" s="110" t="str"/>
      <c r="O62" s="110" t="str">
        <v>Exam</v>
      </c>
    </row>
    <row r="63" ht="22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ht="22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ht="22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8">
      <c r="A68" t="str">
        <v>Custom assessment</v>
      </c>
      <c r="B68" t="str">
        <v>Slot</v>
      </c>
      <c r="C68" t="str">
        <v>Short label</v>
      </c>
      <c r="D68" t="str">
        <v>Notes</v>
      </c>
      <c r="E68" t="str">
        <v>Maximum</v>
      </c>
    </row>
    <row r="70">
      <c r="A70" t="str">
        <v>Component 1</v>
      </c>
      <c r="B70" t="n">
        <v>1</v>
      </c>
      <c r="C70" s="112" t="str">
        <v>CA 1</v>
      </c>
      <c r="D70" t="str">
        <v>0 disables a slot</v>
      </c>
      <c r="E70" s="112" t="n">
        <v>10</v>
      </c>
    </row>
    <row r="71">
      <c r="A71" t="str">
        <v>Component 2</v>
      </c>
      <c r="B71" t="n">
        <v>2</v>
      </c>
      <c r="C71" s="112" t="str">
        <v>CA 2</v>
      </c>
      <c r="D71" t="str">
        <v>0 disables a slot</v>
      </c>
      <c r="E71" s="112" t="n">
        <v>10</v>
      </c>
    </row>
    <row r="72">
      <c r="A72" t="str">
        <v>Component 3</v>
      </c>
      <c r="B72" t="n">
        <v>3</v>
      </c>
      <c r="C72" s="112" t="str">
        <v>CA 3</v>
      </c>
      <c r="D72" t="str">
        <v>0 disables a slot</v>
      </c>
      <c r="E72" s="112" t="n">
        <v>10</v>
      </c>
    </row>
    <row r="73">
      <c r="A73" t="str">
        <v>Component 4</v>
      </c>
      <c r="B73" t="n">
        <v>4</v>
      </c>
      <c r="C73" s="112" t="str">
        <v>CA 4</v>
      </c>
      <c r="D73" t="str">
        <v>0 disables a slot</v>
      </c>
      <c r="E73" s="112" t="n">
        <v>10</v>
      </c>
    </row>
    <row r="74">
      <c r="A74" t="str">
        <v>Component 5</v>
      </c>
      <c r="B74" t="n">
        <v>5</v>
      </c>
      <c r="C74" s="112" t="str">
        <v>Exam</v>
      </c>
      <c r="D74" t="str">
        <v>0 disables a slot</v>
      </c>
      <c r="E74" s="112" t="n">
        <v>60</v>
      </c>
    </row>
  </sheetData>
  <mergeCells>
    <mergeCell ref="A2:C2"/>
    <mergeCell ref="B18:C20"/>
    <mergeCell ref="A23:C23"/>
    <mergeCell ref="E53:K55"/>
    <mergeCell ref="A36:C36"/>
    <mergeCell ref="E3:K3"/>
    <mergeCell ref="E5:F6"/>
    <mergeCell ref="G5:L6"/>
    <mergeCell ref="E8:F9"/>
    <mergeCell ref="G8:L9"/>
    <mergeCell ref="E11:F12"/>
    <mergeCell ref="G11:L12"/>
    <mergeCell ref="E14:F15"/>
    <mergeCell ref="G14:L15"/>
    <mergeCell ref="E17:F18"/>
    <mergeCell ref="G17:L18"/>
    <mergeCell ref="E20:F21"/>
    <mergeCell ref="G20:L21"/>
    <mergeCell ref="E23:F24"/>
    <mergeCell ref="G23:L24"/>
    <mergeCell ref="E26:F27"/>
    <mergeCell ref="G26:L27"/>
    <mergeCell ref="E29:F30"/>
    <mergeCell ref="G29:L30"/>
    <mergeCell ref="E32:F33"/>
    <mergeCell ref="G32:L33"/>
    <mergeCell ref="E35:F36"/>
    <mergeCell ref="G35:L36"/>
    <mergeCell ref="E38:F39"/>
    <mergeCell ref="G38:L39"/>
  </mergeCells>
  <dataValidations count="5">
    <dataValidation type="list" sqref="B8">
      <formula1>"First Term,Second Term,Third Term"</formula1>
    </dataValidation>
    <dataValidation type="list" sqref="B9">
      <formula1>"2024/2025,2025/2026,2026/2027,2027/2028,2028/2029,2029/2030,2030/2031"</formula1>
    </dataValidation>
    <dataValidation type="list" sqref="B10">
      <formula1>"Current term,Cumulative"</formula1>
    </dataValidation>
    <dataValidation type="list" sqref="B7">
      <formula1>"General,Science,Humanities,Business"</formula1>
    </dataValidation>
    <dataValidation type="list" sqref="B17">
      <formula1>"Four CA 10-10-10-10,Two CA 20-20,Assignments 10-10 Test 20,Assignments 5-5 Test 30,Custom"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>
      <pane xSplit="2" ySplit="5" topLeftCell="C6" activePane="bottomRight" state="frozen"/>
    </sheetView>
  </sheetViews>
  <sheetFormatPr defaultRowHeight="15"/>
  <cols>
    <col min="1" max="1" width="21" hidden="0" customWidth="1"/>
    <col min="2" max="2" width="28" hidden="0" customWidth="1"/>
    <col min="3" max="3" width="16" hidden="0" customWidth="1"/>
    <col min="4" max="4" width="16" hidden="0" customWidth="1"/>
    <col min="5" max="5" width="16" hidden="0" customWidth="1"/>
    <col min="6" max="6" width="16" hidden="0" customWidth="1"/>
    <col min="7" max="7" width="16" hidden="0" customWidth="1"/>
    <col min="8" max="8" width="16" hidden="0" customWidth="1"/>
    <col min="9" max="9" width="16" hidden="0" customWidth="1"/>
    <col min="10" max="10" width="16" hidden="0" customWidth="1"/>
    <col min="11" max="11" width="16" hidden="0" customWidth="1"/>
    <col min="12" max="12" width="16" hidden="0" customWidth="1"/>
    <col min="13" max="13" width="16" hidden="0" customWidth="1"/>
    <col min="14" max="14" width="16" hidden="0" customWidth="1"/>
    <col min="15" max="15" width="16" hidden="0" customWidth="1"/>
    <col min="16" max="16" width="16" hidden="0" customWidth="1"/>
    <col min="17" max="17" width="16" hidden="0" customWidth="1"/>
  </cols>
  <sheetData>
    <row r="1" ht="22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22" customHeight="1">
      <c r="A2" s="41" t="str">
        <v>CLASS RESULTS FOR POSITION AND SUBJECT AVERAGE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</row>
    <row r="3" ht="36" customHeight="1">
      <c r="A3" s="61" t="str">
        <v>Enter the whole class. Column C uses CURRENT-TERM averages; subject columns use the grade basis selected in Settings.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</row>
    <row r="4" ht="22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ht="48" customHeight="1">
      <c r="A5" s="45" t="str">
        <v>Admission number</v>
      </c>
      <c r="B5" s="45" t="str">
        <v>Student name</v>
      </c>
      <c r="C5" s="45" t="str">
        <v>Current term average</v>
      </c>
      <c r="D5" s="45" t="str">
        <v>Overall position</v>
      </c>
      <c r="E5" s="45" t="str">
        <f>Settings!B38</f>
        <v>English Studies</v>
      </c>
      <c r="F5" s="45" t="str">
        <f>Settings!B39</f>
        <v>Mathematics</v>
      </c>
      <c r="G5" s="45" t="str">
        <f>Settings!B40</f>
        <v>Nigerian Language</v>
      </c>
      <c r="H5" s="45" t="str">
        <f>Settings!B41</f>
        <v>Basic Science</v>
      </c>
      <c r="I5" s="45" t="str">
        <f>Settings!B42</f>
        <v>Physical and Health Education</v>
      </c>
      <c r="J5" s="45" t="str">
        <f>Settings!B43</f>
        <v>Religious Studies</v>
      </c>
      <c r="K5" s="45" t="str">
        <f>Settings!B44</f>
        <v>Nigerian History</v>
      </c>
      <c r="L5" s="45" t="str">
        <f>Settings!B45</f>
        <v>Social and Citizenship Studies</v>
      </c>
      <c r="M5" s="45" t="str">
        <f>Settings!B46</f>
        <v>Cultural and Creative Arts</v>
      </c>
      <c r="N5" s="45" t="str">
        <f>Settings!B47</f>
        <v>Agriculture</v>
      </c>
      <c r="O5" s="45" t="str">
        <f>Settings!B48</f>
        <v>Digital Technologies</v>
      </c>
      <c r="P5" s="45" t="str">
        <f>Settings!B49</f>
        <v>French</v>
      </c>
      <c r="Q5" s="45" t="str">
        <f>Settings!B50</f>
        <v>Business Studies</v>
      </c>
    </row>
    <row r="6" ht="22" customHeight="1">
      <c r="A6" s="38"/>
      <c r="B6" s="38"/>
      <c r="C6" s="65"/>
      <c r="D6" s="2" t="str">
        <f>IF(AND(A6&lt;&gt;"",ISNUMBER(C6),COUNT($C$6:$C$55)=COUNTA($A$6:$A$55)),COUNTIF($C$6:$C$55,"&gt;"&amp;C6)+1,"")</f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</row>
    <row r="7" ht="22" customHeight="1">
      <c r="A7" s="38"/>
      <c r="B7" s="38"/>
      <c r="C7" s="65"/>
      <c r="D7" s="2" t="str">
        <f>IF(AND(A7&lt;&gt;"",ISNUMBER(C7),COUNT($C$6:$C$55)=COUNTA($A$6:$A$55)),COUNTIF($C$6:$C$55,"&gt;"&amp;C7)+1,"")</f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</row>
    <row r="8" ht="22" customHeight="1">
      <c r="A8" s="38"/>
      <c r="B8" s="38"/>
      <c r="C8" s="65"/>
      <c r="D8" s="2" t="str">
        <f>IF(AND(A8&lt;&gt;"",ISNUMBER(C8),COUNT($C$6:$C$55)=COUNTA($A$6:$A$55)),COUNTIF($C$6:$C$55,"&gt;"&amp;C8)+1,"")</f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</row>
    <row r="9" ht="22" customHeight="1">
      <c r="A9" s="38"/>
      <c r="B9" s="38"/>
      <c r="C9" s="65"/>
      <c r="D9" s="2" t="str">
        <f>IF(AND(A9&lt;&gt;"",ISNUMBER(C9),COUNT($C$6:$C$55)=COUNTA($A$6:$A$55)),COUNTIF($C$6:$C$55,"&gt;"&amp;C9)+1,"")</f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</row>
    <row r="10" ht="22" customHeight="1">
      <c r="A10" s="38"/>
      <c r="B10" s="38"/>
      <c r="C10" s="65"/>
      <c r="D10" s="2" t="str">
        <f>IF(AND(A10&lt;&gt;"",ISNUMBER(C10),COUNT($C$6:$C$55)=COUNTA($A$6:$A$55)),COUNTIF($C$6:$C$55,"&gt;"&amp;C10)+1,"")</f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</row>
    <row r="11" ht="22" customHeight="1">
      <c r="A11" s="38"/>
      <c r="B11" s="38"/>
      <c r="C11" s="65"/>
      <c r="D11" s="2" t="str">
        <f>IF(AND(A11&lt;&gt;"",ISNUMBER(C11),COUNT($C$6:$C$55)=COUNTA($A$6:$A$55)),COUNTIF($C$6:$C$55,"&gt;"&amp;C11)+1,"")</f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</row>
    <row r="12" ht="22" customHeight="1">
      <c r="A12" s="38"/>
      <c r="B12" s="38"/>
      <c r="C12" s="65"/>
      <c r="D12" s="2" t="str">
        <f>IF(AND(A12&lt;&gt;"",ISNUMBER(C12),COUNT($C$6:$C$55)=COUNTA($A$6:$A$55)),COUNTIF($C$6:$C$55,"&gt;"&amp;C12)+1,"")</f>
      </c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</row>
    <row r="13" ht="22" customHeight="1">
      <c r="A13" s="38"/>
      <c r="B13" s="38"/>
      <c r="C13" s="65"/>
      <c r="D13" s="2" t="str">
        <f>IF(AND(A13&lt;&gt;"",ISNUMBER(C13),COUNT($C$6:$C$55)=COUNTA($A$6:$A$55)),COUNTIF($C$6:$C$55,"&gt;"&amp;C13)+1,"")</f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</row>
    <row r="14" ht="22" customHeight="1">
      <c r="A14" s="38"/>
      <c r="B14" s="38"/>
      <c r="C14" s="65"/>
      <c r="D14" s="2" t="str">
        <f>IF(AND(A14&lt;&gt;"",ISNUMBER(C14),COUNT($C$6:$C$55)=COUNTA($A$6:$A$55)),COUNTIF($C$6:$C$55,"&gt;"&amp;C14)+1,"")</f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</row>
    <row r="15" ht="22" customHeight="1">
      <c r="A15" s="38"/>
      <c r="B15" s="38"/>
      <c r="C15" s="65"/>
      <c r="D15" s="2" t="str">
        <f>IF(AND(A15&lt;&gt;"",ISNUMBER(C15),COUNT($C$6:$C$55)=COUNTA($A$6:$A$55)),COUNTIF($C$6:$C$55,"&gt;"&amp;C15)+1,"")</f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</row>
    <row r="16" ht="22" customHeight="1">
      <c r="A16" s="38"/>
      <c r="B16" s="38"/>
      <c r="C16" s="65"/>
      <c r="D16" s="2" t="str">
        <f>IF(AND(A16&lt;&gt;"",ISNUMBER(C16),COUNT($C$6:$C$55)=COUNTA($A$6:$A$55)),COUNTIF($C$6:$C$55,"&gt;"&amp;C16)+1,"")</f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</row>
    <row r="17" ht="22" customHeight="1">
      <c r="A17" s="38"/>
      <c r="B17" s="38"/>
      <c r="C17" s="65"/>
      <c r="D17" s="2" t="str">
        <f>IF(AND(A17&lt;&gt;"",ISNUMBER(C17),COUNT($C$6:$C$55)=COUNTA($A$6:$A$55)),COUNTIF($C$6:$C$55,"&gt;"&amp;C17)+1,"")</f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</row>
    <row r="18" ht="22" customHeight="1">
      <c r="A18" s="38"/>
      <c r="B18" s="38"/>
      <c r="C18" s="65"/>
      <c r="D18" s="2" t="str">
        <f>IF(AND(A18&lt;&gt;"",ISNUMBER(C18),COUNT($C$6:$C$55)=COUNTA($A$6:$A$55)),COUNTIF($C$6:$C$55,"&gt;"&amp;C18)+1,"")</f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</row>
    <row r="19" ht="22" customHeight="1">
      <c r="A19" s="38"/>
      <c r="B19" s="38"/>
      <c r="C19" s="65"/>
      <c r="D19" s="2" t="str">
        <f>IF(AND(A19&lt;&gt;"",ISNUMBER(C19),COUNT($C$6:$C$55)=COUNTA($A$6:$A$55)),COUNTIF($C$6:$C$55,"&gt;"&amp;C19)+1,"")</f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</row>
    <row r="20" ht="22" customHeight="1">
      <c r="A20" s="38"/>
      <c r="B20" s="38"/>
      <c r="C20" s="65"/>
      <c r="D20" s="2" t="str">
        <f>IF(AND(A20&lt;&gt;"",ISNUMBER(C20),COUNT($C$6:$C$55)=COUNTA($A$6:$A$55)),COUNTIF($C$6:$C$55,"&gt;"&amp;C20)+1,"")</f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</row>
    <row r="21" ht="22" customHeight="1">
      <c r="A21" s="38"/>
      <c r="B21" s="38"/>
      <c r="C21" s="65"/>
      <c r="D21" s="2" t="str">
        <f>IF(AND(A21&lt;&gt;"",ISNUMBER(C21),COUNT($C$6:$C$55)=COUNTA($A$6:$A$55)),COUNTIF($C$6:$C$55,"&gt;"&amp;C21)+1,"")</f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</row>
    <row r="22" ht="22" customHeight="1">
      <c r="A22" s="38"/>
      <c r="B22" s="38"/>
      <c r="C22" s="65"/>
      <c r="D22" s="2" t="str">
        <f>IF(AND(A22&lt;&gt;"",ISNUMBER(C22),COUNT($C$6:$C$55)=COUNTA($A$6:$A$55)),COUNTIF($C$6:$C$55,"&gt;"&amp;C22)+1,"")</f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</row>
    <row r="23" ht="22" customHeight="1">
      <c r="A23" s="38"/>
      <c r="B23" s="38"/>
      <c r="C23" s="65"/>
      <c r="D23" s="2" t="str">
        <f>IF(AND(A23&lt;&gt;"",ISNUMBER(C23),COUNT($C$6:$C$55)=COUNTA($A$6:$A$55)),COUNTIF($C$6:$C$55,"&gt;"&amp;C23)+1,"")</f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</row>
    <row r="24" ht="22" customHeight="1">
      <c r="A24" s="38"/>
      <c r="B24" s="38"/>
      <c r="C24" s="65"/>
      <c r="D24" s="2" t="str">
        <f>IF(AND(A24&lt;&gt;"",ISNUMBER(C24),COUNT($C$6:$C$55)=COUNTA($A$6:$A$55)),COUNTIF($C$6:$C$55,"&gt;"&amp;C24)+1,"")</f>
      </c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</row>
    <row r="25" ht="22" customHeight="1">
      <c r="A25" s="38"/>
      <c r="B25" s="38"/>
      <c r="C25" s="65"/>
      <c r="D25" s="2" t="str">
        <f>IF(AND(A25&lt;&gt;"",ISNUMBER(C25),COUNT($C$6:$C$55)=COUNTA($A$6:$A$55)),COUNTIF($C$6:$C$55,"&gt;"&amp;C25)+1,"")</f>
      </c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</row>
    <row r="26" ht="22" customHeight="1">
      <c r="A26" s="38"/>
      <c r="B26" s="38"/>
      <c r="C26" s="65"/>
      <c r="D26" s="2" t="str">
        <f>IF(AND(A26&lt;&gt;"",ISNUMBER(C26),COUNT($C$6:$C$55)=COUNTA($A$6:$A$55)),COUNTIF($C$6:$C$55,"&gt;"&amp;C26)+1,"")</f>
      </c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</row>
    <row r="27" ht="22" customHeight="1">
      <c r="A27" s="38"/>
      <c r="B27" s="38"/>
      <c r="C27" s="65"/>
      <c r="D27" s="2" t="str">
        <f>IF(AND(A27&lt;&gt;"",ISNUMBER(C27),COUNT($C$6:$C$55)=COUNTA($A$6:$A$55)),COUNTIF($C$6:$C$55,"&gt;"&amp;C27)+1,"")</f>
      </c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</row>
    <row r="28" ht="22" customHeight="1">
      <c r="A28" s="38"/>
      <c r="B28" s="38"/>
      <c r="C28" s="65"/>
      <c r="D28" s="2" t="str">
        <f>IF(AND(A28&lt;&gt;"",ISNUMBER(C28),COUNT($C$6:$C$55)=COUNTA($A$6:$A$55)),COUNTIF($C$6:$C$55,"&gt;"&amp;C28)+1,"")</f>
      </c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</row>
    <row r="29" ht="22" customHeight="1">
      <c r="A29" s="38"/>
      <c r="B29" s="38"/>
      <c r="C29" s="65"/>
      <c r="D29" s="2" t="str">
        <f>IF(AND(A29&lt;&gt;"",ISNUMBER(C29),COUNT($C$6:$C$55)=COUNTA($A$6:$A$55)),COUNTIF($C$6:$C$55,"&gt;"&amp;C29)+1,"")</f>
      </c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</row>
    <row r="30" ht="22" customHeight="1">
      <c r="A30" s="38"/>
      <c r="B30" s="38"/>
      <c r="C30" s="65"/>
      <c r="D30" s="2" t="str">
        <f>IF(AND(A30&lt;&gt;"",ISNUMBER(C30),COUNT($C$6:$C$55)=COUNTA($A$6:$A$55)),COUNTIF($C$6:$C$55,"&gt;"&amp;C30)+1,"")</f>
      </c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</row>
    <row r="31" ht="22" customHeight="1">
      <c r="A31" s="38"/>
      <c r="B31" s="38"/>
      <c r="C31" s="65"/>
      <c r="D31" s="2" t="str">
        <f>IF(AND(A31&lt;&gt;"",ISNUMBER(C31),COUNT($C$6:$C$55)=COUNTA($A$6:$A$55)),COUNTIF($C$6:$C$55,"&gt;"&amp;C31)+1,"")</f>
      </c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</row>
    <row r="32" ht="22" customHeight="1">
      <c r="A32" s="38"/>
      <c r="B32" s="38"/>
      <c r="C32" s="65"/>
      <c r="D32" s="2" t="str">
        <f>IF(AND(A32&lt;&gt;"",ISNUMBER(C32),COUNT($C$6:$C$55)=COUNTA($A$6:$A$55)),COUNTIF($C$6:$C$55,"&gt;"&amp;C32)+1,"")</f>
      </c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</row>
    <row r="33" ht="22" customHeight="1">
      <c r="A33" s="38"/>
      <c r="B33" s="38"/>
      <c r="C33" s="65"/>
      <c r="D33" s="2" t="str">
        <f>IF(AND(A33&lt;&gt;"",ISNUMBER(C33),COUNT($C$6:$C$55)=COUNTA($A$6:$A$55)),COUNTIF($C$6:$C$55,"&gt;"&amp;C33)+1,"")</f>
      </c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</row>
    <row r="34" ht="22" customHeight="1">
      <c r="A34" s="38"/>
      <c r="B34" s="38"/>
      <c r="C34" s="65"/>
      <c r="D34" s="2" t="str">
        <f>IF(AND(A34&lt;&gt;"",ISNUMBER(C34),COUNT($C$6:$C$55)=COUNTA($A$6:$A$55)),COUNTIF($C$6:$C$55,"&gt;"&amp;C34)+1,"")</f>
      </c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</row>
    <row r="35" ht="22" customHeight="1">
      <c r="A35" s="38"/>
      <c r="B35" s="38"/>
      <c r="C35" s="65"/>
      <c r="D35" s="2" t="str">
        <f>IF(AND(A35&lt;&gt;"",ISNUMBER(C35),COUNT($C$6:$C$55)=COUNTA($A$6:$A$55)),COUNTIF($C$6:$C$55,"&gt;"&amp;C35)+1,"")</f>
      </c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</row>
    <row r="36" ht="22" customHeight="1">
      <c r="A36" s="38"/>
      <c r="B36" s="38"/>
      <c r="C36" s="65"/>
      <c r="D36" s="2" t="str">
        <f>IF(AND(A36&lt;&gt;"",ISNUMBER(C36),COUNT($C$6:$C$55)=COUNTA($A$6:$A$55)),COUNTIF($C$6:$C$55,"&gt;"&amp;C36)+1,"")</f>
      </c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</row>
    <row r="37" ht="22" customHeight="1">
      <c r="A37" s="38"/>
      <c r="B37" s="38"/>
      <c r="C37" s="65"/>
      <c r="D37" s="2" t="str">
        <f>IF(AND(A37&lt;&gt;"",ISNUMBER(C37),COUNT($C$6:$C$55)=COUNTA($A$6:$A$55)),COUNTIF($C$6:$C$55,"&gt;"&amp;C37)+1,"")</f>
      </c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</row>
    <row r="38" ht="22" customHeight="1">
      <c r="A38" s="38"/>
      <c r="B38" s="38"/>
      <c r="C38" s="65"/>
      <c r="D38" s="2" t="str">
        <f>IF(AND(A38&lt;&gt;"",ISNUMBER(C38),COUNT($C$6:$C$55)=COUNTA($A$6:$A$55)),COUNTIF($C$6:$C$55,"&gt;"&amp;C38)+1,"")</f>
      </c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</row>
    <row r="39" ht="22" customHeight="1">
      <c r="A39" s="38"/>
      <c r="B39" s="38"/>
      <c r="C39" s="65"/>
      <c r="D39" s="2" t="str">
        <f>IF(AND(A39&lt;&gt;"",ISNUMBER(C39),COUNT($C$6:$C$55)=COUNTA($A$6:$A$55)),COUNTIF($C$6:$C$55,"&gt;"&amp;C39)+1,"")</f>
      </c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</row>
    <row r="40" ht="22" customHeight="1">
      <c r="A40" s="38"/>
      <c r="B40" s="38"/>
      <c r="C40" s="65"/>
      <c r="D40" s="2" t="str">
        <f>IF(AND(A40&lt;&gt;"",ISNUMBER(C40),COUNT($C$6:$C$55)=COUNTA($A$6:$A$55)),COUNTIF($C$6:$C$55,"&gt;"&amp;C40)+1,"")</f>
      </c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</row>
    <row r="41" ht="22" customHeight="1">
      <c r="A41" s="38"/>
      <c r="B41" s="38"/>
      <c r="C41" s="65"/>
      <c r="D41" s="2" t="str">
        <f>IF(AND(A41&lt;&gt;"",ISNUMBER(C41),COUNT($C$6:$C$55)=COUNTA($A$6:$A$55)),COUNTIF($C$6:$C$55,"&gt;"&amp;C41)+1,"")</f>
      </c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</row>
    <row r="42" ht="22" customHeight="1">
      <c r="A42" s="38"/>
      <c r="B42" s="38"/>
      <c r="C42" s="65"/>
      <c r="D42" s="2" t="str">
        <f>IF(AND(A42&lt;&gt;"",ISNUMBER(C42),COUNT($C$6:$C$55)=COUNTA($A$6:$A$55)),COUNTIF($C$6:$C$55,"&gt;"&amp;C42)+1,"")</f>
      </c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</row>
    <row r="43" ht="22" customHeight="1">
      <c r="A43" s="38"/>
      <c r="B43" s="38"/>
      <c r="C43" s="65"/>
      <c r="D43" s="2" t="str">
        <f>IF(AND(A43&lt;&gt;"",ISNUMBER(C43),COUNT($C$6:$C$55)=COUNTA($A$6:$A$55)),COUNTIF($C$6:$C$55,"&gt;"&amp;C43)+1,"")</f>
      </c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</row>
    <row r="44" ht="22" customHeight="1">
      <c r="A44" s="38"/>
      <c r="B44" s="38"/>
      <c r="C44" s="65"/>
      <c r="D44" s="2" t="str">
        <f>IF(AND(A44&lt;&gt;"",ISNUMBER(C44),COUNT($C$6:$C$55)=COUNTA($A$6:$A$55)),COUNTIF($C$6:$C$55,"&gt;"&amp;C44)+1,"")</f>
      </c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</row>
    <row r="45" ht="22" customHeight="1">
      <c r="A45" s="38"/>
      <c r="B45" s="38"/>
      <c r="C45" s="65"/>
      <c r="D45" s="2" t="str">
        <f>IF(AND(A45&lt;&gt;"",ISNUMBER(C45),COUNT($C$6:$C$55)=COUNTA($A$6:$A$55)),COUNTIF($C$6:$C$55,"&gt;"&amp;C45)+1,"")</f>
      </c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</row>
    <row r="46" ht="22" customHeight="1">
      <c r="A46" s="38"/>
      <c r="B46" s="38"/>
      <c r="C46" s="65"/>
      <c r="D46" s="2" t="str">
        <f>IF(AND(A46&lt;&gt;"",ISNUMBER(C46),COUNT($C$6:$C$55)=COUNTA($A$6:$A$55)),COUNTIF($C$6:$C$55,"&gt;"&amp;C46)+1,"")</f>
      </c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</row>
    <row r="47" ht="22" customHeight="1">
      <c r="A47" s="38"/>
      <c r="B47" s="38"/>
      <c r="C47" s="65"/>
      <c r="D47" s="2" t="str">
        <f>IF(AND(A47&lt;&gt;"",ISNUMBER(C47),COUNT($C$6:$C$55)=COUNTA($A$6:$A$55)),COUNTIF($C$6:$C$55,"&gt;"&amp;C47)+1,"")</f>
      </c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</row>
    <row r="48" ht="22" customHeight="1">
      <c r="A48" s="38"/>
      <c r="B48" s="38"/>
      <c r="C48" s="65"/>
      <c r="D48" s="2" t="str">
        <f>IF(AND(A48&lt;&gt;"",ISNUMBER(C48),COUNT($C$6:$C$55)=COUNTA($A$6:$A$55)),COUNTIF($C$6:$C$55,"&gt;"&amp;C48)+1,"")</f>
      </c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</row>
    <row r="49" ht="22" customHeight="1">
      <c r="A49" s="38"/>
      <c r="B49" s="38"/>
      <c r="C49" s="65"/>
      <c r="D49" s="2" t="str">
        <f>IF(AND(A49&lt;&gt;"",ISNUMBER(C49),COUNT($C$6:$C$55)=COUNTA($A$6:$A$55)),COUNTIF($C$6:$C$55,"&gt;"&amp;C49)+1,"")</f>
      </c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</row>
    <row r="50" ht="22" customHeight="1">
      <c r="A50" s="38"/>
      <c r="B50" s="38"/>
      <c r="C50" s="65"/>
      <c r="D50" s="2" t="str">
        <f>IF(AND(A50&lt;&gt;"",ISNUMBER(C50),COUNT($C$6:$C$55)=COUNTA($A$6:$A$55)),COUNTIF($C$6:$C$55,"&gt;"&amp;C50)+1,"")</f>
      </c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</row>
    <row r="51" ht="22" customHeight="1">
      <c r="A51" s="38"/>
      <c r="B51" s="38"/>
      <c r="C51" s="65"/>
      <c r="D51" s="2" t="str">
        <f>IF(AND(A51&lt;&gt;"",ISNUMBER(C51),COUNT($C$6:$C$55)=COUNTA($A$6:$A$55)),COUNTIF($C$6:$C$55,"&gt;"&amp;C51)+1,"")</f>
      </c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</row>
    <row r="52" ht="22" customHeight="1">
      <c r="A52" s="38"/>
      <c r="B52" s="38"/>
      <c r="C52" s="65"/>
      <c r="D52" s="2" t="str">
        <f>IF(AND(A52&lt;&gt;"",ISNUMBER(C52),COUNT($C$6:$C$55)=COUNTA($A$6:$A$55)),COUNTIF($C$6:$C$55,"&gt;"&amp;C52)+1,"")</f>
      </c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</row>
    <row r="53" ht="22" customHeight="1">
      <c r="A53" s="38"/>
      <c r="B53" s="38"/>
      <c r="C53" s="65"/>
      <c r="D53" s="2" t="str">
        <f>IF(AND(A53&lt;&gt;"",ISNUMBER(C53),COUNT($C$6:$C$55)=COUNTA($A$6:$A$55)),COUNTIF($C$6:$C$55,"&gt;"&amp;C53)+1,"")</f>
      </c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</row>
    <row r="54" ht="22" customHeight="1">
      <c r="A54" s="38"/>
      <c r="B54" s="38"/>
      <c r="C54" s="65"/>
      <c r="D54" s="2" t="str">
        <f>IF(AND(A54&lt;&gt;"",ISNUMBER(C54),COUNT($C$6:$C$55)=COUNTA($A$6:$A$55)),COUNTIF($C$6:$C$55,"&gt;"&amp;C54)+1,"")</f>
      </c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</row>
    <row r="55" ht="22" customHeight="1">
      <c r="A55" s="38"/>
      <c r="B55" s="38"/>
      <c r="C55" s="65"/>
      <c r="D55" s="2" t="str">
        <f>IF(AND(A55&lt;&gt;"",ISNUMBER(C55),COUNT($C$6:$C$55)=COUNTA($A$6:$A$55)),COUNTIF($C$6:$C$55,"&gt;"&amp;C55)+1,"")</f>
      </c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</row>
  </sheetData>
  <mergeCells>
    <mergeCell ref="A2:Q2"/>
    <mergeCell ref="A3:Q3"/>
  </mergeCells>
  <dataValidations count="2">
    <dataValidation type="decimal" operator="between" sqref="C6:C55">
      <formula1>0</formula1>
      <formula2>100</formula2>
    </dataValidation>
    <dataValidation type="decimal" operator="between" sqref="E6:Q55">
      <formula1>0</formula1>
      <formula2>100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8D9CB0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8" hidden="0" customWidth="1"/>
    <col min="2" max="2" width="20" hidden="0" customWidth="1"/>
    <col min="3" max="3" width="20" hidden="0" customWidth="1"/>
    <col min="4" max="4" width="44" hidden="0" customWidth="1"/>
    <col min="5" max="5" width="34" hidden="0" customWidth="1"/>
    <col min="6" max="6" width="36" hidden="0" customWidth="1"/>
  </cols>
  <sheetData>
    <row r="1" ht="22" customHeight="1">
      <c r="A1" s="2"/>
      <c r="B1" s="2"/>
      <c r="C1" s="2"/>
      <c r="D1" s="2"/>
      <c r="E1" s="2"/>
      <c r="F1" s="2"/>
    </row>
    <row r="2" ht="22" customHeight="1">
      <c r="A2" s="41" t="str">
        <v>A4 PORTRAIT — UPDATED SCHOOLPRO MAPPING</v>
      </c>
      <c r="B2" s="41"/>
      <c r="C2" s="41"/>
      <c r="D2" s="41"/>
      <c r="E2" s="41"/>
      <c r="F2" s="41"/>
    </row>
    <row r="3" ht="34" customHeight="1">
      <c r="A3" s="61" t="str">
        <v>Worksheet Result; start row 14. Map scores to C:G using actual school assessment keys.</v>
      </c>
      <c r="B3" s="61"/>
      <c r="C3" s="61"/>
      <c r="D3" s="61"/>
      <c r="E3" s="61"/>
      <c r="F3" s="61"/>
    </row>
    <row r="4" ht="22" customHeight="1">
      <c r="A4" s="2"/>
      <c r="B4" s="2"/>
      <c r="C4" s="2"/>
      <c r="D4" s="2"/>
      <c r="E4" s="2"/>
      <c r="F4" s="2"/>
    </row>
    <row r="5" ht="36" customHeight="1">
      <c r="A5" s="45" t="str">
        <v>Source</v>
      </c>
      <c r="B5" s="45" t="str">
        <v>Write-in cell / column</v>
      </c>
      <c r="C5" s="45" t="str">
        <v>Visible report location</v>
      </c>
      <c r="D5" s="45" t="str">
        <v>Method</v>
      </c>
      <c r="E5" s="45" t="str">
        <v>Support</v>
      </c>
      <c r="F5" s="45" t="str">
        <v>Notes</v>
      </c>
    </row>
    <row r="6" ht="44" customHeight="1">
      <c r="A6" s="61" t="str">
        <v>school_name</v>
      </c>
      <c r="B6" s="61" t="str">
        <v>A100</v>
      </c>
      <c r="C6" s="61" t="str">
        <v>C2</v>
      </c>
      <c r="D6" s="61" t="str">
        <v>Field mapping</v>
      </c>
      <c r="E6" s="61" t="str">
        <v>Available</v>
      </c>
      <c r="F6" s="61" t="str">
        <v>Hidden below the page; never beside the result.</v>
      </c>
    </row>
    <row r="7" ht="44" customHeight="1">
      <c r="A7" s="61" t="str">
        <v>student_name</v>
      </c>
      <c r="B7" s="61" t="str">
        <v>C6</v>
      </c>
      <c r="C7" s="61" t="str">
        <v>C6</v>
      </c>
      <c r="D7" s="61" t="str">
        <v>Field mapping</v>
      </c>
      <c r="E7" s="61" t="str">
        <v>Available</v>
      </c>
      <c r="F7" s="61" t="str"/>
    </row>
    <row r="8" ht="44" customHeight="1">
      <c r="A8" s="61" t="str">
        <v>admission_number</v>
      </c>
      <c r="B8" s="61" t="str">
        <v>C7</v>
      </c>
      <c r="C8" s="61" t="str">
        <v>C7</v>
      </c>
      <c r="D8" s="61" t="str">
        <v>Field mapping</v>
      </c>
      <c r="E8" s="61" t="str">
        <v>Available</v>
      </c>
      <c r="F8" s="61" t="str"/>
    </row>
    <row r="9" ht="44" customHeight="1">
      <c r="A9" s="61" t="str">
        <v>class_name</v>
      </c>
      <c r="B9" s="61" t="str">
        <v>L7</v>
      </c>
      <c r="C9" s="61" t="str">
        <v>L7</v>
      </c>
      <c r="D9" s="61" t="str">
        <v>Field mapping</v>
      </c>
      <c r="E9" s="61" t="str">
        <v>Available</v>
      </c>
      <c r="F9" s="61" t="str"/>
    </row>
    <row r="10" ht="44" customHeight="1">
      <c r="A10" s="61" t="str">
        <v>term</v>
      </c>
      <c r="B10" s="61" t="str">
        <v>A102</v>
      </c>
      <c r="C10" s="61" t="str">
        <v>C8</v>
      </c>
      <c r="D10" s="61" t="str">
        <v>Field mapping</v>
      </c>
      <c r="E10" s="61" t="str">
        <v>Available</v>
      </c>
      <c r="F10" s="61" t="str">
        <v>Hidden below the page; never beside the result.</v>
      </c>
    </row>
    <row r="11" ht="44" customHeight="1">
      <c r="A11" s="61" t="str">
        <v>session</v>
      </c>
      <c r="B11" s="61" t="str">
        <v>A103</v>
      </c>
      <c r="C11" s="61" t="str">
        <v>L8</v>
      </c>
      <c r="D11" s="61" t="str">
        <v>Field mapping</v>
      </c>
      <c r="E11" s="61" t="str">
        <v>Available</v>
      </c>
      <c r="F11" s="61" t="str">
        <v>Hidden below the page; never beside the result.</v>
      </c>
    </row>
    <row r="12" ht="44" customHeight="1">
      <c r="A12" s="61" t="str">
        <v>term_ending</v>
      </c>
      <c r="B12" s="61" t="str">
        <v>C9</v>
      </c>
      <c r="C12" s="61" t="str">
        <v>C9</v>
      </c>
      <c r="D12" s="61" t="str">
        <v>Field mapping</v>
      </c>
      <c r="E12" s="61" t="str">
        <v>Available</v>
      </c>
      <c r="F12" s="61" t="str"/>
    </row>
    <row r="13" ht="44" customHeight="1">
      <c r="A13" s="61" t="str">
        <v>next_term_begins</v>
      </c>
      <c r="B13" s="61" t="str">
        <v>L9</v>
      </c>
      <c r="C13" s="61" t="str">
        <v>L9</v>
      </c>
      <c r="D13" s="61" t="str">
        <v>Field mapping</v>
      </c>
      <c r="E13" s="61" t="str">
        <v>Available</v>
      </c>
      <c r="F13" s="61" t="str"/>
    </row>
    <row r="14" ht="44" customHeight="1">
      <c r="A14" s="61" t="str">
        <v>class_population</v>
      </c>
      <c r="B14" s="61" t="str">
        <v>A104</v>
      </c>
      <c r="C14" s="61" t="str">
        <v>N28</v>
      </c>
      <c r="D14" s="61" t="str">
        <v>Field mapping</v>
      </c>
      <c r="E14" s="61" t="str">
        <v>Available</v>
      </c>
      <c r="F14" s="61" t="str">
        <v>Hidden below the page; never beside the result.</v>
      </c>
    </row>
    <row r="15" ht="44" customHeight="1">
      <c r="A15" s="61" t="str">
        <v>class_position</v>
      </c>
      <c r="B15" s="61" t="str">
        <v>A105</v>
      </c>
      <c r="C15" s="61" t="str">
        <v>C29</v>
      </c>
      <c r="D15" s="61" t="str">
        <v>Field mapping</v>
      </c>
      <c r="E15" s="61" t="str">
        <v>Available</v>
      </c>
      <c r="F15" s="61" t="str">
        <v>Hidden below the page; never beside the result.</v>
      </c>
    </row>
    <row r="16" ht="44" customHeight="1">
      <c r="A16" s="61" t="str">
        <v>class_days</v>
      </c>
      <c r="B16" s="61" t="str">
        <v>C30</v>
      </c>
      <c r="C16" s="61" t="str">
        <v>C30</v>
      </c>
      <c r="D16" s="61" t="str">
        <v>Field mapping</v>
      </c>
      <c r="E16" s="61" t="str">
        <v>Available</v>
      </c>
      <c r="F16" s="61" t="str"/>
    </row>
    <row r="17" ht="44" customHeight="1">
      <c r="A17" s="61" t="str">
        <v>times_present</v>
      </c>
      <c r="B17" s="61" t="str">
        <v>H30</v>
      </c>
      <c r="C17" s="61" t="str">
        <v>H30</v>
      </c>
      <c r="D17" s="61" t="str">
        <v>Field mapping</v>
      </c>
      <c r="E17" s="61" t="str">
        <v>Available</v>
      </c>
      <c r="F17" s="61" t="str"/>
    </row>
    <row r="18" ht="44" customHeight="1">
      <c r="A18" s="61" t="str">
        <v>times_absent</v>
      </c>
      <c r="B18" s="61" t="str">
        <v>L30</v>
      </c>
      <c r="C18" s="61" t="str">
        <v>L30</v>
      </c>
      <c r="D18" s="61" t="str">
        <v>Field mapping</v>
      </c>
      <c r="E18" s="61" t="str">
        <v>Available</v>
      </c>
      <c r="F18" s="61" t="str"/>
    </row>
    <row r="19" ht="44" customHeight="1">
      <c r="A19" s="61" t="str">
        <v>times_on_leave</v>
      </c>
      <c r="B19" s="61" t="str">
        <v>P30</v>
      </c>
      <c r="C19" s="61" t="str">
        <v>P30</v>
      </c>
      <c r="D19" s="61" t="str">
        <v>Field mapping</v>
      </c>
      <c r="E19" s="61" t="str">
        <v>Available</v>
      </c>
      <c r="F19" s="61" t="str"/>
    </row>
    <row r="20" ht="44" customHeight="1">
      <c r="A20" s="61" t="str">
        <v>form_master_remark</v>
      </c>
      <c r="B20" s="61" t="str">
        <v>C43</v>
      </c>
      <c r="C20" s="61" t="str">
        <v>C43</v>
      </c>
      <c r="D20" s="61" t="str">
        <v>Field mapping</v>
      </c>
      <c r="E20" s="61" t="str">
        <v>Available</v>
      </c>
      <c r="F20" s="61" t="str"/>
    </row>
    <row r="21" ht="44" customHeight="1">
      <c r="A21" s="61" t="str">
        <v>principal_remark</v>
      </c>
      <c r="B21" s="61" t="str">
        <v>C45</v>
      </c>
      <c r="C21" s="61" t="str">
        <v>C45</v>
      </c>
      <c r="D21" s="61" t="str">
        <v>Field mapping</v>
      </c>
      <c r="E21" s="61" t="str">
        <v>Available</v>
      </c>
      <c r="F21" s="61" t="str"/>
    </row>
    <row r="22" ht="44" customHeight="1">
      <c r="A22" s="61" t="str">
        <v>principal_name</v>
      </c>
      <c r="B22" s="61" t="str">
        <v>I49</v>
      </c>
      <c r="C22" s="61" t="str">
        <v>I49</v>
      </c>
      <c r="D22" s="61" t="str">
        <v>Field mapping</v>
      </c>
      <c r="E22" s="61" t="str">
        <v>Available</v>
      </c>
      <c r="F22" s="61" t="str"/>
    </row>
    <row r="23" ht="44" customHeight="1">
      <c r="A23" s="61" t="str">
        <v>verification_url</v>
      </c>
      <c r="B23" s="61" t="str">
        <v>A51</v>
      </c>
      <c r="C23" s="61" t="str">
        <v>A51</v>
      </c>
      <c r="D23" s="61" t="str">
        <v>Field mapping</v>
      </c>
      <c r="E23" s="61" t="str">
        <v>Available</v>
      </c>
      <c r="F23" s="61" t="str"/>
    </row>
    <row r="24" ht="44" customHeight="1">
      <c r="A24" s="61" t="str">
        <v>subject</v>
      </c>
      <c r="B24" s="61" t="str">
        <v>A14:A26</v>
      </c>
      <c r="C24" s="61" t="str">
        <v>A14:A26</v>
      </c>
      <c r="D24" s="61" t="str">
        <v>Result column</v>
      </c>
      <c r="E24" s="61" t="str">
        <v>Formula outputs preserved</v>
      </c>
      <c r="F24" s="61" t="str"/>
    </row>
    <row r="25" ht="44" customHeight="1">
      <c r="A25" s="61" t="str">
        <v>total</v>
      </c>
      <c r="B25" s="61" t="str">
        <v>H14:H26</v>
      </c>
      <c r="C25" s="61" t="str">
        <v>H14:H26</v>
      </c>
      <c r="D25" s="61" t="str">
        <v>Result column</v>
      </c>
      <c r="E25" s="61" t="str">
        <v>Formula outputs preserved</v>
      </c>
      <c r="F25" s="61" t="str"/>
    </row>
    <row r="26" ht="44" customHeight="1">
      <c r="A26" s="61" t="str">
        <v>first_term</v>
      </c>
      <c r="B26" s="61" t="str">
        <v>I14:I26</v>
      </c>
      <c r="C26" s="61" t="str">
        <v>I14:I26</v>
      </c>
      <c r="D26" s="61" t="str">
        <v>Result column</v>
      </c>
      <c r="E26" s="61" t="str">
        <v>Formula outputs preserved</v>
      </c>
      <c r="F26" s="61" t="str"/>
    </row>
    <row r="27" ht="44" customHeight="1">
      <c r="A27" s="61" t="str">
        <v>second_term</v>
      </c>
      <c r="B27" s="61" t="str">
        <v>J14:J26</v>
      </c>
      <c r="C27" s="61" t="str">
        <v>J14:J26</v>
      </c>
      <c r="D27" s="61" t="str">
        <v>Result column</v>
      </c>
      <c r="E27" s="61" t="str">
        <v>Formula outputs preserved</v>
      </c>
      <c r="F27" s="61" t="str"/>
    </row>
    <row r="28" ht="44" customHeight="1">
      <c r="A28" s="61" t="str">
        <v>subject_average</v>
      </c>
      <c r="B28" s="61" t="str">
        <v>K14:K26</v>
      </c>
      <c r="C28" s="61" t="str">
        <v>K14:K26</v>
      </c>
      <c r="D28" s="61" t="str">
        <v>Result column</v>
      </c>
      <c r="E28" s="61" t="str">
        <v>Formula outputs preserved</v>
      </c>
      <c r="F28" s="61" t="str"/>
    </row>
    <row r="29" ht="44" customHeight="1">
      <c r="A29" s="61" t="str">
        <v>grade</v>
      </c>
      <c r="B29" s="61" t="str">
        <v>L14:L26</v>
      </c>
      <c r="C29" s="61" t="str">
        <v>L14:L26</v>
      </c>
      <c r="D29" s="61" t="str">
        <v>Result column</v>
      </c>
      <c r="E29" s="61" t="str">
        <v>Formula outputs preserved</v>
      </c>
      <c r="F29" s="61" t="str"/>
    </row>
    <row r="30" ht="44" customHeight="1">
      <c r="A30" s="61" t="str">
        <v>subject_position</v>
      </c>
      <c r="B30" s="61" t="str">
        <v>M14:M26</v>
      </c>
      <c r="C30" s="61" t="str">
        <v>M14:M26</v>
      </c>
      <c r="D30" s="61" t="str">
        <v>Result column</v>
      </c>
      <c r="E30" s="61" t="str">
        <v>SchoolPro writes actual values</v>
      </c>
      <c r="F30" s="61" t="str"/>
    </row>
    <row r="31" ht="44" customHeight="1">
      <c r="A31" s="61" t="str">
        <v>subject_class_average</v>
      </c>
      <c r="B31" s="61" t="str">
        <v>N14:N26</v>
      </c>
      <c r="C31" s="61" t="str">
        <v>N14:N26</v>
      </c>
      <c r="D31" s="61" t="str">
        <v>Result column</v>
      </c>
      <c r="E31" s="61" t="str">
        <v>SchoolPro writes actual values</v>
      </c>
      <c r="F31" s="61" t="str"/>
    </row>
    <row r="32" ht="44" customHeight="1">
      <c r="A32" s="61" t="str">
        <v>subject_remark</v>
      </c>
      <c r="B32" s="61" t="str">
        <v>O14:O26</v>
      </c>
      <c r="C32" s="61" t="str">
        <v>O14:O26</v>
      </c>
      <c r="D32" s="61" t="str">
        <v>Result column</v>
      </c>
      <c r="E32" s="61" t="str">
        <v>Formula outputs preserved</v>
      </c>
      <c r="F32" s="61" t="str"/>
    </row>
    <row r="33" ht="44" customHeight="1">
      <c r="A33" s="61" t="str">
        <v>School address</v>
      </c>
      <c r="B33" s="61" t="str">
        <v>A101</v>
      </c>
      <c r="C33" s="61" t="str">
        <v>C4</v>
      </c>
      <c r="D33" s="61" t="str">
        <v>Custom literal</v>
      </c>
      <c r="E33" s="61" t="str">
        <v>Manual value</v>
      </c>
      <c r="F33" s="61" t="str"/>
    </row>
    <row r="34" ht="44" customHeight="1">
      <c r="A34" s="61" t="str">
        <v>Gender</v>
      </c>
      <c r="B34" s="61" t="str">
        <v>B10</v>
      </c>
      <c r="C34" s="61" t="str">
        <v>B10</v>
      </c>
      <c r="D34" s="61" t="str">
        <v>Custom literal</v>
      </c>
      <c r="E34" s="61" t="str">
        <v>Manual value</v>
      </c>
      <c r="F34" s="61" t="str"/>
    </row>
    <row r="35" ht="44" customHeight="1">
      <c r="A35" s="61" t="str">
        <v>Age</v>
      </c>
      <c r="B35" s="61" t="str">
        <v>E10</v>
      </c>
      <c r="C35" s="61" t="str">
        <v>E10</v>
      </c>
      <c r="D35" s="61" t="str">
        <v>Custom literal</v>
      </c>
      <c r="E35" s="61" t="str">
        <v>Manual value</v>
      </c>
      <c r="F35" s="61" t="str"/>
    </row>
    <row r="36" ht="44" customHeight="1">
      <c r="A36" s="61" t="str">
        <v>House</v>
      </c>
      <c r="B36" s="61" t="str">
        <v>I10</v>
      </c>
      <c r="C36" s="61" t="str">
        <v>I10</v>
      </c>
      <c r="D36" s="61" t="str">
        <v>Custom literal</v>
      </c>
      <c r="E36" s="61" t="str">
        <v>Manual value</v>
      </c>
      <c r="F36" s="61" t="str"/>
    </row>
    <row r="37" ht="44" customHeight="1">
      <c r="A37" s="61" t="str">
        <v>Report number</v>
      </c>
      <c r="B37" s="61" t="str">
        <v>O10</v>
      </c>
      <c r="C37" s="61" t="str">
        <v>O10</v>
      </c>
      <c r="D37" s="61" t="str">
        <v>Custom literal</v>
      </c>
      <c r="E37" s="61" t="str">
        <v>Manual value</v>
      </c>
      <c r="F37" s="61" t="str"/>
    </row>
    <row r="38" ht="44" customHeight="1">
      <c r="A38" s="61" t="str">
        <v>Teacher name</v>
      </c>
      <c r="B38" s="61" t="str">
        <v>A49</v>
      </c>
      <c r="C38" s="61" t="str">
        <v>A49</v>
      </c>
      <c r="D38" s="61" t="str">
        <v>Custom literal</v>
      </c>
      <c r="E38" s="61" t="str">
        <v>Manual value</v>
      </c>
      <c r="F38" s="61" t="str"/>
    </row>
    <row r="39" ht="44" customHeight="1">
      <c r="A39" s="61" t="str">
        <v>Progression</v>
      </c>
      <c r="B39" s="61" t="str">
        <v>I29</v>
      </c>
      <c r="C39" s="61" t="str">
        <v>I29</v>
      </c>
      <c r="D39" s="61" t="str">
        <v>Custom literal</v>
      </c>
      <c r="E39" s="61" t="str">
        <v>Manual value</v>
      </c>
      <c r="F39" s="61" t="str"/>
    </row>
    <row r="40" ht="44" customHeight="1">
      <c r="A40" s="61" t="str">
        <v>School logo</v>
      </c>
      <c r="B40" s="61" t="str">
        <v>A2:B5</v>
      </c>
      <c r="C40" s="61" t="str">
        <v>A2:B5</v>
      </c>
      <c r="D40" s="61" t="str">
        <v>Merged image</v>
      </c>
      <c r="E40" s="61" t="str">
        <v>Available</v>
      </c>
      <c r="F40" s="61" t="str">
        <v>Delete the original image for another school logo.</v>
      </c>
    </row>
    <row r="41" ht="44" customHeight="1">
      <c r="A41" s="61" t="str">
        <v>Student photo</v>
      </c>
      <c r="B41" s="61" t="str">
        <v>N2:P5</v>
      </c>
      <c r="C41" s="61" t="str">
        <v>N2:P5</v>
      </c>
      <c r="D41" s="61" t="str">
        <v>Merged image</v>
      </c>
      <c r="E41" s="61" t="str">
        <v>Available</v>
      </c>
      <c r="F41" s="61" t="str">
        <v>Student profile photo</v>
      </c>
    </row>
    <row r="42" ht="44" customHeight="1">
      <c r="A42" s="61" t="str">
        <v>Teacher signature</v>
      </c>
      <c r="B42" s="61" t="str">
        <v>A47:G48</v>
      </c>
      <c r="C42" s="61" t="str">
        <v>A47:G48</v>
      </c>
      <c r="D42" s="61" t="str">
        <v>Merged image</v>
      </c>
      <c r="E42" s="61" t="str">
        <v>Available</v>
      </c>
      <c r="F42" s="61" t="str">
        <v>Term settings</v>
      </c>
    </row>
    <row r="43" ht="44" customHeight="1">
      <c r="A43" s="61" t="str">
        <v>Head signature</v>
      </c>
      <c r="B43" s="61" t="str">
        <v>I47:N48</v>
      </c>
      <c r="C43" s="61" t="str">
        <v>I47:N48</v>
      </c>
      <c r="D43" s="61" t="str">
        <v>Merged image</v>
      </c>
      <c r="E43" s="61" t="str">
        <v>Available</v>
      </c>
      <c r="F43" s="61" t="str">
        <v>Term settings</v>
      </c>
    </row>
    <row r="44" ht="44" customHeight="1">
      <c r="A44" s="61" t="str">
        <v>Verification QR</v>
      </c>
      <c r="B44" s="61" t="str">
        <v>O47</v>
      </c>
      <c r="C44" s="61" t="str">
        <v>O47</v>
      </c>
      <c r="D44" s="61" t="str">
        <v>Image 45 px</v>
      </c>
      <c r="E44" s="61" t="str">
        <v>When issued</v>
      </c>
      <c r="F44" s="61" t="str">
        <v>Actual result verification</v>
      </c>
    </row>
    <row r="45" ht="44" customHeight="1">
      <c r="A45" s="61" t="str">
        <v>Affective</v>
      </c>
      <c r="B45" s="61" t="str">
        <v>A34:H41</v>
      </c>
      <c r="C45" s="61" t="str">
        <v>A34:H41</v>
      </c>
      <c r="D45" s="61" t="str">
        <v>Labels A; ratings G</v>
      </c>
      <c r="E45" s="61" t="str">
        <v>8 definitions</v>
      </c>
      <c r="F45" s="61" t="str">
        <v>Scale 1–5</v>
      </c>
    </row>
    <row r="46" ht="44" customHeight="1">
      <c r="A46" s="61" t="str">
        <v>Psychomotor</v>
      </c>
      <c r="B46" s="61" t="str">
        <v>I34:P41</v>
      </c>
      <c r="C46" s="61" t="str">
        <v>I34:P41</v>
      </c>
      <c r="D46" s="61" t="str">
        <v>Labels I; ratings O</v>
      </c>
      <c r="E46" s="61" t="str">
        <v>8 definitions</v>
      </c>
      <c r="F46" s="61" t="str">
        <v>Scale 1–5</v>
      </c>
    </row>
    <row r="47" ht="44" customHeight="1">
      <c r="A47" s="61" t="str">
        <v>Assessment selector</v>
      </c>
      <c r="B47" s="61" t="str">
        <v>Settings!B17</v>
      </c>
      <c r="C47" s="61" t="str">
        <v>Result!C12:G12</v>
      </c>
      <c r="D47" s="61" t="str">
        <v>Select or Custom</v>
      </c>
      <c r="E47" s="61" t="str">
        <v>Workbook setting</v>
      </c>
      <c r="F47" s="61" t="str">
        <v>Match the scheme selected in SchoolPro.</v>
      </c>
    </row>
    <row r="48" ht="44" customHeight="1">
      <c r="A48" s="61" t="str">
        <v>Subject ranks / averages</v>
      </c>
      <c r="B48" s="61" t="str">
        <v>Result!M14:N26</v>
      </c>
      <c r="C48" s="61" t="str">
        <v>Result!M14:N26</v>
      </c>
      <c r="D48" s="61" t="str">
        <v>Actual SchoolPro values</v>
      </c>
      <c r="E48" s="61" t="str">
        <v>Automatic on generation</v>
      </c>
      <c r="F48" s="61" t="str">
        <v>Offline: calculate on Class marks and enter these two columns.</v>
      </c>
    </row>
    <row r="49" ht="48" customHeight="1">
      <c r="A49" s="61"/>
      <c r="B49" s="61"/>
      <c r="C49" s="61"/>
      <c r="D49" s="61"/>
      <c r="E49" s="61"/>
      <c r="F49" s="61"/>
    </row>
    <row r="50" ht="48" customHeight="1">
      <c r="A50" s="61"/>
      <c r="B50" s="61"/>
      <c r="C50" s="61"/>
      <c r="D50" s="61"/>
      <c r="E50" s="61"/>
      <c r="F50" s="61"/>
    </row>
    <row r="51" ht="48" customHeight="1">
      <c r="A51" s="61"/>
      <c r="B51" s="61"/>
      <c r="C51" s="61"/>
      <c r="D51" s="61"/>
      <c r="E51" s="61"/>
      <c r="F51" s="61"/>
    </row>
    <row r="52" ht="48" customHeight="1">
      <c r="A52" s="61"/>
      <c r="B52" s="61"/>
      <c r="C52" s="61"/>
      <c r="D52" s="61"/>
      <c r="E52" s="61"/>
      <c r="F52" s="61"/>
    </row>
    <row r="53" ht="48" customHeight="1">
      <c r="A53" s="61"/>
      <c r="B53" s="61"/>
      <c r="C53" s="61"/>
      <c r="D53" s="61"/>
      <c r="E53" s="61"/>
      <c r="F53" s="61"/>
    </row>
    <row r="54" ht="48" customHeight="1">
      <c r="A54" s="61"/>
      <c r="B54" s="61"/>
      <c r="C54" s="61"/>
      <c r="D54" s="61"/>
      <c r="E54" s="61"/>
      <c r="F54" s="61"/>
    </row>
    <row r="55" ht="48" customHeight="1">
      <c r="A55" s="61"/>
      <c r="B55" s="61"/>
      <c r="C55" s="61"/>
      <c r="D55" s="61"/>
      <c r="E55" s="61"/>
      <c r="F55" s="61"/>
    </row>
    <row r="56" ht="48" customHeight="1">
      <c r="A56" s="61"/>
      <c r="B56" s="61"/>
      <c r="C56" s="61"/>
      <c r="D56" s="61"/>
      <c r="E56" s="61"/>
      <c r="F56" s="61"/>
    </row>
    <row r="57" ht="48" customHeight="1">
      <c r="A57" s="61"/>
      <c r="B57" s="61"/>
      <c r="C57" s="61"/>
      <c r="D57" s="61"/>
      <c r="E57" s="61"/>
      <c r="F57" s="61"/>
    </row>
    <row r="58" ht="22" customHeight="1">
      <c r="A58" s="2"/>
      <c r="B58" s="2"/>
      <c r="C58" s="2"/>
      <c r="D58" s="2"/>
      <c r="E58" s="2"/>
      <c r="F58" s="2"/>
    </row>
    <row r="59" ht="22" customHeight="1">
      <c r="A59" s="2"/>
      <c r="B59" s="2"/>
      <c r="C59" s="2"/>
      <c r="D59" s="2"/>
      <c r="E59" s="2"/>
      <c r="F59" s="2"/>
    </row>
    <row r="60" ht="22" customHeight="1">
      <c r="A60" s="2"/>
      <c r="B60" s="2"/>
      <c r="C60" s="2"/>
      <c r="D60" s="2"/>
      <c r="E60" s="2"/>
      <c r="F60" s="2"/>
    </row>
    <row r="61" ht="22" customHeight="1">
      <c r="A61" s="2"/>
      <c r="B61" s="2"/>
      <c r="C61" s="2"/>
      <c r="D61" s="2"/>
      <c r="E61" s="2"/>
      <c r="F61" s="2"/>
    </row>
    <row r="62" ht="22" customHeight="1">
      <c r="A62" s="2"/>
      <c r="B62" s="2"/>
      <c r="C62" s="2"/>
      <c r="D62" s="2"/>
      <c r="E62" s="2"/>
      <c r="F62" s="2"/>
    </row>
    <row r="63" ht="22" customHeight="1">
      <c r="A63" s="2"/>
      <c r="B63" s="2"/>
      <c r="C63" s="2"/>
      <c r="D63" s="2"/>
      <c r="E63" s="2"/>
      <c r="F63" s="2"/>
    </row>
    <row r="64" ht="22" customHeight="1">
      <c r="A64" s="2"/>
      <c r="B64" s="2"/>
      <c r="C64" s="2"/>
      <c r="D64" s="2"/>
      <c r="E64" s="2"/>
      <c r="F64" s="2"/>
    </row>
    <row r="65" ht="22" customHeight="1">
      <c r="A65" s="2"/>
      <c r="B65" s="2"/>
      <c r="C65" s="2"/>
      <c r="D65" s="2"/>
      <c r="E65" s="2"/>
      <c r="F65" s="2"/>
    </row>
    <row r="66" ht="22" customHeight="1">
      <c r="A66" s="2"/>
      <c r="B66" s="2"/>
      <c r="C66" s="2"/>
      <c r="D66" s="2"/>
      <c r="E66" s="2"/>
      <c r="F66" s="2"/>
    </row>
    <row r="67" ht="22" customHeight="1">
      <c r="A67" s="2"/>
      <c r="B67" s="2"/>
      <c r="C67" s="2"/>
      <c r="D67" s="2"/>
      <c r="E67" s="2"/>
      <c r="F67" s="2"/>
    </row>
    <row r="68" ht="22" customHeight="1">
      <c r="A68" s="2"/>
      <c r="B68" s="2"/>
      <c r="C68" s="2"/>
      <c r="D68" s="2"/>
      <c r="E68" s="2"/>
      <c r="F68" s="2"/>
    </row>
    <row r="69" ht="22" customHeight="1">
      <c r="A69" s="2"/>
      <c r="B69" s="2"/>
      <c r="C69" s="2"/>
      <c r="D69" s="2"/>
      <c r="E69" s="2"/>
      <c r="F69" s="2"/>
    </row>
    <row r="70" ht="22" customHeight="1">
      <c r="A70" s="2"/>
      <c r="B70" s="2"/>
      <c r="C70" s="2"/>
      <c r="D70" s="2"/>
      <c r="E70" s="2"/>
      <c r="F70" s="2"/>
    </row>
    <row r="71" ht="22" customHeight="1">
      <c r="A71" s="2"/>
      <c r="B71" s="2"/>
      <c r="C71" s="2"/>
      <c r="D71" s="2"/>
      <c r="E71" s="2"/>
      <c r="F71" s="2"/>
    </row>
    <row r="72" ht="22" customHeight="1">
      <c r="A72" s="2"/>
      <c r="B72" s="2"/>
      <c r="C72" s="2"/>
      <c r="D72" s="2"/>
      <c r="E72" s="2"/>
      <c r="F72" s="2"/>
    </row>
    <row r="73" ht="22" customHeight="1">
      <c r="A73" s="2"/>
      <c r="B73" s="2"/>
      <c r="C73" s="2"/>
      <c r="D73" s="2"/>
      <c r="E73" s="2"/>
      <c r="F73" s="2"/>
    </row>
    <row r="74" ht="22" customHeight="1">
      <c r="A74" s="2"/>
      <c r="B74" s="2"/>
      <c r="C74" s="2"/>
      <c r="D74" s="2"/>
      <c r="E74" s="2"/>
      <c r="F74" s="2"/>
    </row>
    <row r="75" ht="22" customHeight="1">
      <c r="A75" s="2"/>
      <c r="B75" s="2"/>
      <c r="C75" s="2"/>
      <c r="D75" s="2"/>
      <c r="E75" s="2"/>
      <c r="F75" s="2"/>
    </row>
    <row r="76" ht="22" customHeight="1">
      <c r="A76" s="2"/>
      <c r="B76" s="2"/>
      <c r="C76" s="2"/>
      <c r="D76" s="2"/>
      <c r="E76" s="2"/>
      <c r="F76" s="2"/>
    </row>
    <row r="77" ht="22" customHeight="1">
      <c r="A77" s="2"/>
      <c r="B77" s="2"/>
      <c r="C77" s="2"/>
      <c r="D77" s="2"/>
      <c r="E77" s="2"/>
      <c r="F77" s="2"/>
    </row>
    <row r="78" ht="22" customHeight="1">
      <c r="A78" s="2"/>
      <c r="B78" s="2"/>
      <c r="C78" s="2"/>
      <c r="D78" s="2"/>
      <c r="E78" s="2"/>
      <c r="F78" s="2"/>
    </row>
    <row r="79" ht="22" customHeight="1">
      <c r="A79" s="2"/>
      <c r="B79" s="2"/>
      <c r="C79" s="2"/>
      <c r="D79" s="2"/>
      <c r="E79" s="2"/>
      <c r="F79" s="2"/>
    </row>
    <row r="80" ht="22" customHeight="1">
      <c r="A80" s="2"/>
      <c r="B80" s="2"/>
      <c r="C80" s="2"/>
      <c r="D80" s="2"/>
      <c r="E80" s="2"/>
      <c r="F80" s="2"/>
    </row>
    <row r="81" ht="22" customHeight="1">
      <c r="A81" s="2"/>
      <c r="B81" s="2"/>
      <c r="C81" s="2"/>
      <c r="D81" s="2"/>
      <c r="E81" s="2"/>
      <c r="F81" s="2"/>
    </row>
    <row r="82" ht="22" customHeight="1">
      <c r="A82" s="2"/>
      <c r="B82" s="2"/>
      <c r="C82" s="2"/>
      <c r="D82" s="2"/>
      <c r="E82" s="2"/>
      <c r="F82" s="2"/>
    </row>
    <row r="83" ht="22" customHeight="1">
      <c r="A83" s="2"/>
      <c r="B83" s="2"/>
      <c r="C83" s="2"/>
      <c r="D83" s="2"/>
      <c r="E83" s="2"/>
      <c r="F83" s="2"/>
    </row>
    <row r="84" ht="22" customHeight="1">
      <c r="A84" s="2"/>
      <c r="B84" s="2"/>
      <c r="C84" s="2"/>
      <c r="D84" s="2"/>
      <c r="E84" s="2"/>
      <c r="F84" s="2"/>
    </row>
    <row r="85" ht="22" customHeight="1">
      <c r="A85" s="2"/>
      <c r="B85" s="2"/>
      <c r="C85" s="2"/>
      <c r="D85" s="2"/>
      <c r="E85" s="2"/>
      <c r="F85" s="2"/>
    </row>
    <row r="86" ht="22" customHeight="1">
      <c r="A86" s="2"/>
      <c r="B86" s="2"/>
      <c r="C86" s="2"/>
      <c r="D86" s="2"/>
      <c r="E86" s="2"/>
      <c r="F86" s="2"/>
    </row>
    <row r="87" ht="22" customHeight="1">
      <c r="A87" s="2"/>
      <c r="B87" s="2"/>
      <c r="C87" s="2"/>
      <c r="D87" s="2"/>
      <c r="E87" s="2"/>
      <c r="F87" s="2"/>
    </row>
    <row r="88" ht="22" customHeight="1">
      <c r="A88" s="2"/>
      <c r="B88" s="2"/>
      <c r="C88" s="2"/>
      <c r="D88" s="2"/>
      <c r="E88" s="2"/>
      <c r="F88" s="2"/>
    </row>
    <row r="89" ht="22" customHeight="1">
      <c r="A89" s="2"/>
      <c r="B89" s="2"/>
      <c r="C89" s="2"/>
      <c r="D89" s="2"/>
      <c r="E89" s="2"/>
      <c r="F89" s="2"/>
    </row>
    <row r="90" ht="22" customHeight="1">
      <c r="A90" s="2"/>
      <c r="B90" s="2"/>
      <c r="C90" s="2"/>
      <c r="D90" s="2"/>
      <c r="E90" s="2"/>
      <c r="F90" s="2"/>
    </row>
    <row r="91" ht="22" customHeight="1">
      <c r="A91" s="2"/>
      <c r="B91" s="2"/>
      <c r="C91" s="2"/>
      <c r="D91" s="2"/>
      <c r="E91" s="2"/>
      <c r="F91" s="2"/>
    </row>
    <row r="92" ht="22" customHeight="1">
      <c r="A92" s="2"/>
      <c r="B92" s="2"/>
      <c r="C92" s="2"/>
      <c r="D92" s="2"/>
      <c r="E92" s="2"/>
      <c r="F92" s="2"/>
    </row>
    <row r="93" ht="22" customHeight="1">
      <c r="A93" s="2"/>
      <c r="B93" s="2"/>
      <c r="C93" s="2"/>
      <c r="D93" s="2"/>
      <c r="E93" s="2"/>
      <c r="F93" s="2"/>
    </row>
    <row r="94" ht="22" customHeight="1">
      <c r="A94" s="2"/>
      <c r="B94" s="2"/>
      <c r="C94" s="2"/>
      <c r="D94" s="2"/>
      <c r="E94" s="2"/>
      <c r="F94" s="2"/>
    </row>
    <row r="95" ht="22" customHeight="1">
      <c r="A95" s="2"/>
      <c r="B95" s="2"/>
      <c r="C95" s="2"/>
      <c r="D95" s="2"/>
      <c r="E95" s="2"/>
      <c r="F95" s="2"/>
    </row>
    <row r="96" ht="22" customHeight="1">
      <c r="A96" s="2"/>
      <c r="B96" s="2"/>
      <c r="C96" s="2"/>
      <c r="D96" s="2"/>
      <c r="E96" s="2"/>
      <c r="F96" s="2"/>
    </row>
    <row r="97" ht="22" customHeight="1">
      <c r="A97" s="2"/>
      <c r="B97" s="2"/>
      <c r="C97" s="2"/>
      <c r="D97" s="2"/>
      <c r="E97" s="2"/>
      <c r="F97" s="2"/>
    </row>
    <row r="98" ht="22" customHeight="1">
      <c r="A98" s="2"/>
      <c r="B98" s="2"/>
      <c r="C98" s="2"/>
      <c r="D98" s="2"/>
      <c r="E98" s="2"/>
      <c r="F98" s="2"/>
    </row>
    <row r="99" ht="22" customHeight="1">
      <c r="A99" s="2"/>
      <c r="B99" s="2"/>
      <c r="C99" s="2"/>
      <c r="D99" s="2"/>
      <c r="E99" s="2"/>
      <c r="F99" s="2"/>
    </row>
    <row r="100" ht="22" customHeight="1">
      <c r="A100" s="2"/>
      <c r="B100" s="2"/>
      <c r="C100" s="2"/>
      <c r="D100" s="2"/>
      <c r="E100" s="2"/>
      <c r="F100" s="2"/>
    </row>
  </sheetData>
  <pageMargins left="0.7" right="0.7" top="0.75" bottom="0.75" header="0.3" footer="0.3"/>
</worksheet>
</file>